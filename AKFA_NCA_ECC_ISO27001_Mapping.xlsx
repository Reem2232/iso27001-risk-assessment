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pping" sheetId="2" state="visible" r:id="rId4"/>
  </sheets>
  <definedNames>
    <definedName function="false" hidden="true" localSheetId="1" name="_xlnm._FilterDatabase" vbProcedure="false">Mapping!$A$1:$H$29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<sst xmlns="http://schemas.openxmlformats.org/spreadsheetml/2006/main" count="242" uniqueCount="189">
  <si>
    <t xml:space="preserve">AKFA Trading Group</t>
  </si>
  <si>
    <t xml:space="preserve">NCA ECC ↔ ISO/IEC 27001:2022 Mapping Matrix</t>
  </si>
  <si>
    <t xml:space="preserve">NCA Essential Cybersecurity Controls (ECC-2:2024)  |  Version 1.0  |  January 2026  |  Prepared by: Reem Ibrahim</t>
  </si>
  <si>
    <t xml:space="preserve">Purpose</t>
  </si>
  <si>
    <t xml:space="preserve">Maps the 28 subdomains of the Saudi NCA Essential Cybersecurity Controls (ECC-2:2024, 4 domains / 108 controls) to ISO/IEC 27001:2022 Annex A controls and to the organization's risk register, showing alignment status and planned treatment actions.</t>
  </si>
  <si>
    <t xml:space="preserve">Why both</t>
  </si>
  <si>
    <t xml:space="preserve">ISO 27001 provides the ISMS framework; NCA ECC is the national regulatory baseline for in-scope Saudi entities. One control set implemented well can satisfy both — this matrix shows where they meet.</t>
  </si>
  <si>
    <t xml:space="preserve">Status key</t>
  </si>
  <si>
    <t xml:space="preserve">Aligned = requirement substantially met · Partially aligned = control exists but immature · Gap = not yet implemented (treatment action referenced where planned).</t>
  </si>
  <si>
    <t xml:space="preserve">Inputs</t>
  </si>
  <si>
    <t xml:space="preserve">Risk register (AKFA_Risk_Register.xlsx), Statement of Applicability, treatment plan T-01 to T-12.</t>
  </si>
  <si>
    <t xml:space="preserve">Alignment Summary</t>
  </si>
  <si>
    <t xml:space="preserve">Aligned</t>
  </si>
  <si>
    <t xml:space="preserve">Partially aligned</t>
  </si>
  <si>
    <t xml:space="preserve">Gap</t>
  </si>
  <si>
    <t xml:space="preserve">Total subdomains</t>
  </si>
  <si>
    <t xml:space="preserve">ECC Ref</t>
  </si>
  <si>
    <t xml:space="preserve">ECC Subdomain (EN)</t>
  </si>
  <si>
    <t xml:space="preserve">النطاق الفرعي (AR)</t>
  </si>
  <si>
    <t xml:space="preserve">ECC Domain</t>
  </si>
  <si>
    <t xml:space="preserve">ISO 27001:2022 Mapping</t>
  </si>
  <si>
    <t xml:space="preserve">Related Risks</t>
  </si>
  <si>
    <t xml:space="preserve">Alignment</t>
  </si>
  <si>
    <t xml:space="preserve">Notes / Treatment Reference</t>
  </si>
  <si>
    <t xml:space="preserve">1-1</t>
  </si>
  <si>
    <t xml:space="preserve">Cybersecurity Strategy</t>
  </si>
  <si>
    <t xml:space="preserve">استراتيجية الأمن السيبراني</t>
  </si>
  <si>
    <t xml:space="preserve">Governance</t>
  </si>
  <si>
    <t xml:space="preserve">A.5.1; Clause 5.1, 5.2</t>
  </si>
  <si>
    <t xml:space="preserve">Security strategy to be formalized and approved by executive management.</t>
  </si>
  <si>
    <t xml:space="preserve">1-2</t>
  </si>
  <si>
    <t xml:space="preserve">Cybersecurity Management</t>
  </si>
  <si>
    <t xml:space="preserve">إدارة الأمن السيبراني</t>
  </si>
  <si>
    <t xml:space="preserve">A.5.2, A.5.4</t>
  </si>
  <si>
    <t xml:space="preserve">ISO function assigned; steering committee to be established.</t>
  </si>
  <si>
    <t xml:space="preserve">1-3</t>
  </si>
  <si>
    <t xml:space="preserve">Cybersecurity Policies and Procedures</t>
  </si>
  <si>
    <t xml:space="preserve">سياسات وإجراءات الأمن السيبراني</t>
  </si>
  <si>
    <t xml:space="preserve">A.5.1, A.5.37</t>
  </si>
  <si>
    <t xml:space="preserve">Policy suite in development; operating procedures partially documented.</t>
  </si>
  <si>
    <t xml:space="preserve">1-4</t>
  </si>
  <si>
    <t xml:space="preserve">Cybersecurity Roles and Responsibilities</t>
  </si>
  <si>
    <t xml:space="preserve">أدوار ومسؤوليات الأمن السيبراني</t>
  </si>
  <si>
    <t xml:space="preserve">A.5.2, A.5.3</t>
  </si>
  <si>
    <t xml:space="preserve">R-03, R-08</t>
  </si>
  <si>
    <t xml:space="preserve">RACI needed across the 7 divisions; segregation of duties in finance.</t>
  </si>
  <si>
    <t xml:space="preserve">1-5</t>
  </si>
  <si>
    <t xml:space="preserve">Cybersecurity Risk Management</t>
  </si>
  <si>
    <t xml:space="preserve">إدارة مخاطر الأمن السيبراني</t>
  </si>
  <si>
    <t xml:space="preserve">Clause 6.1.2, 8.2; A.5.8</t>
  </si>
  <si>
    <t xml:space="preserve">All</t>
  </si>
  <si>
    <t xml:space="preserve">This assessment establishes the risk management process and register.</t>
  </si>
  <si>
    <t xml:space="preserve">1-6</t>
  </si>
  <si>
    <t xml:space="preserve">Cybersecurity in IT Project Management</t>
  </si>
  <si>
    <t xml:space="preserve">الأمن السيبراني ضمن إدارة المشاريع التقنية</t>
  </si>
  <si>
    <t xml:space="preserve">A.5.8</t>
  </si>
  <si>
    <t xml:space="preserve">Security requirements not yet embedded in project lifecycle.</t>
  </si>
  <si>
    <t xml:space="preserve">1-7</t>
  </si>
  <si>
    <t xml:space="preserve">Compliance with Cybersecurity Standards, Laws and Regulations</t>
  </si>
  <si>
    <t xml:space="preserve">الالتزام بتشريعات وتنظيمات الأمن السيبراني</t>
  </si>
  <si>
    <t xml:space="preserve">A.5.31, A.5.36</t>
  </si>
  <si>
    <t xml:space="preserve">R-12</t>
  </si>
  <si>
    <t xml:space="preserve">PDPL compliance review planned Q2 2026.</t>
  </si>
  <si>
    <t xml:space="preserve">1-8</t>
  </si>
  <si>
    <t xml:space="preserve">Periodical Cybersecurity Review and Audit</t>
  </si>
  <si>
    <t xml:space="preserve">المراجعة والتدقيق الدوري للأمن السيبراني</t>
  </si>
  <si>
    <t xml:space="preserve">A.5.35, A.8.34</t>
  </si>
  <si>
    <t xml:space="preserve">No independent security review performed to date.</t>
  </si>
  <si>
    <t xml:space="preserve">1-9</t>
  </si>
  <si>
    <t xml:space="preserve">Cybersecurity in Human Resources</t>
  </si>
  <si>
    <t xml:space="preserve">الأمن السيبراني المتعلق بالموارد البشرية</t>
  </si>
  <si>
    <t xml:space="preserve">A.6.1, A.6.2, A.6.5</t>
  </si>
  <si>
    <t xml:space="preserve">R-08</t>
  </si>
  <si>
    <t xml:space="preserve">Screening and NDAs in place; leaver deprovisioning SLA missing.</t>
  </si>
  <si>
    <t xml:space="preserve">1-10</t>
  </si>
  <si>
    <t xml:space="preserve">Cybersecurity Awareness and Training Program</t>
  </si>
  <si>
    <t xml:space="preserve">برنامج التوعية والتدريب بالأمن السيبراني</t>
  </si>
  <si>
    <t xml:space="preserve">A.6.3</t>
  </si>
  <si>
    <t xml:space="preserve">R-01, R-18</t>
  </si>
  <si>
    <t xml:space="preserve">Program launch planned Q1 2026 (treatment T-03).</t>
  </si>
  <si>
    <t xml:space="preserve">2-1</t>
  </si>
  <si>
    <t xml:space="preserve">Asset Management</t>
  </si>
  <si>
    <t xml:space="preserve">إدارة الأصول</t>
  </si>
  <si>
    <t xml:space="preserve">Defense</t>
  </si>
  <si>
    <t xml:space="preserve">A.5.9, A.5.10, A.5.11</t>
  </si>
  <si>
    <t xml:space="preserve">Asset register created in this assessment; lifecycle process to mature.</t>
  </si>
  <si>
    <t xml:space="preserve">2-2</t>
  </si>
  <si>
    <t xml:space="preserve">Identity and Access Management</t>
  </si>
  <si>
    <t xml:space="preserve">إدارة هويات الدخول والصلاحيات</t>
  </si>
  <si>
    <t xml:space="preserve">A.5.15–A.5.18, A.8.2, A.8.5</t>
  </si>
  <si>
    <t xml:space="preserve">R-01, R-04, R-05</t>
  </si>
  <si>
    <t xml:space="preserve">Highest-priority gap: tenant-wide MFA (T-01) and PAM (T-02).</t>
  </si>
  <si>
    <t xml:space="preserve">2-3</t>
  </si>
  <si>
    <t xml:space="preserve">Information System and Processing Facilities Protection</t>
  </si>
  <si>
    <t xml:space="preserve">حماية الأنظمة وأجهزة معالجة المعلومات</t>
  </si>
  <si>
    <t xml:space="preserve">A.8.7, A.8.9, A.8.19</t>
  </si>
  <si>
    <t xml:space="preserve">R-13</t>
  </si>
  <si>
    <t xml:space="preserve">EDR and allow-listing planned Q2 2026 (T-06).</t>
  </si>
  <si>
    <t xml:space="preserve">2-4</t>
  </si>
  <si>
    <t xml:space="preserve">Email Protection</t>
  </si>
  <si>
    <t xml:space="preserve">حماية البريد الإلكتروني</t>
  </si>
  <si>
    <t xml:space="preserve">A.5.14, A.8.7</t>
  </si>
  <si>
    <t xml:space="preserve">R-01, R-03</t>
  </si>
  <si>
    <t xml:space="preserve">Spam filtering active; DMARC/DKIM/SPF enforcement pending (T-01/T-03).</t>
  </si>
  <si>
    <t xml:space="preserve">2-5</t>
  </si>
  <si>
    <t xml:space="preserve">Networks Security Management</t>
  </si>
  <si>
    <t xml:space="preserve">إدارة أمن الشبكات</t>
  </si>
  <si>
    <t xml:space="preserve">A.8.20, A.8.21, A.8.22</t>
  </si>
  <si>
    <t xml:space="preserve">R-02, R-11</t>
  </si>
  <si>
    <t xml:space="preserve">Segmentation of production/backup networks planned (T-06).</t>
  </si>
  <si>
    <t xml:space="preserve">2-6</t>
  </si>
  <si>
    <t xml:space="preserve">Mobile Devices Security</t>
  </si>
  <si>
    <t xml:space="preserve">أمن الأجهزة المحمولة</t>
  </si>
  <si>
    <t xml:space="preserve">A.8.1, A.6.7, A.7.9</t>
  </si>
  <si>
    <t xml:space="preserve">R-14</t>
  </si>
  <si>
    <t xml:space="preserve">Intune enrollment underway; disk encryption enforcement Q1 2026 (T-10).</t>
  </si>
  <si>
    <t xml:space="preserve">2-7</t>
  </si>
  <si>
    <t xml:space="preserve">Data and Information Protection</t>
  </si>
  <si>
    <t xml:space="preserve">حماية البيانات والمعلومات</t>
  </si>
  <si>
    <t xml:space="preserve">A.5.12, A.5.13, A.5.33, A.8.10–A.8.12</t>
  </si>
  <si>
    <t xml:space="preserve">R-09, R-12</t>
  </si>
  <si>
    <t xml:space="preserve">Classification and DLP program planned Q3 2026 (T-08).</t>
  </si>
  <si>
    <t xml:space="preserve">2-8</t>
  </si>
  <si>
    <t xml:space="preserve">Cryptography</t>
  </si>
  <si>
    <t xml:space="preserve">التشفير</t>
  </si>
  <si>
    <t xml:space="preserve">A.8.24</t>
  </si>
  <si>
    <t xml:space="preserve">R-12, R-14</t>
  </si>
  <si>
    <t xml:space="preserve">TLS in transit; encryption at rest for HR/finance data to be extended.</t>
  </si>
  <si>
    <t xml:space="preserve">2-9</t>
  </si>
  <si>
    <t xml:space="preserve">Backup and Recovery Management</t>
  </si>
  <si>
    <t xml:space="preserve">إدارة النسخ الاحتياطية</t>
  </si>
  <si>
    <t xml:space="preserve">A.8.13</t>
  </si>
  <si>
    <t xml:space="preserve">R-02, R-07</t>
  </si>
  <si>
    <t xml:space="preserve">Daily backups run; restore testing and offline copy planned Q1 2026 (T-05).</t>
  </si>
  <si>
    <t xml:space="preserve">2-10</t>
  </si>
  <si>
    <t xml:space="preserve">Vulnerabilities Management</t>
  </si>
  <si>
    <t xml:space="preserve">إدارة الثغرات</t>
  </si>
  <si>
    <t xml:space="preserve">A.8.8</t>
  </si>
  <si>
    <t xml:space="preserve">R-06</t>
  </si>
  <si>
    <t xml:space="preserve">No formal patch cycle; monthly cadence planned Q2 2026 (T-04).</t>
  </si>
  <si>
    <t xml:space="preserve">2-11</t>
  </si>
  <si>
    <t xml:space="preserve">Penetration Testing</t>
  </si>
  <si>
    <t xml:space="preserve">اختبار الاختراق</t>
  </si>
  <si>
    <t xml:space="preserve">A.5.35, A.8.8, A.8.34</t>
  </si>
  <si>
    <t xml:space="preserve">No penetration testing performed; recommend annual scope post-remediation.</t>
  </si>
  <si>
    <t xml:space="preserve">2-12</t>
  </si>
  <si>
    <t xml:space="preserve">Cybersecurity Event Logs and Monitoring Management</t>
  </si>
  <si>
    <t xml:space="preserve">إدارة سجلات الأحداث والمراقبة</t>
  </si>
  <si>
    <t xml:space="preserve">A.8.15, A.8.16, A.8.17</t>
  </si>
  <si>
    <t xml:space="preserve">R-04</t>
  </si>
  <si>
    <t xml:space="preserve">System logs exist; centralized monitoring/alerting planned.</t>
  </si>
  <si>
    <t xml:space="preserve">2-13</t>
  </si>
  <si>
    <t xml:space="preserve">Cybersecurity Incident and Threat Management</t>
  </si>
  <si>
    <t xml:space="preserve">إدارة حوادث وتهديدات الأمن السيبراني</t>
  </si>
  <si>
    <t xml:space="preserve">A.5.7, A.5.24–A.5.28, A.6.8</t>
  </si>
  <si>
    <t xml:space="preserve">R-01, R-02</t>
  </si>
  <si>
    <t xml:space="preserve">IR plan and playbooks planned; NCA incident reporting channel to be defined.</t>
  </si>
  <si>
    <t xml:space="preserve">2-14</t>
  </si>
  <si>
    <t xml:space="preserve">Physical Security</t>
  </si>
  <si>
    <t xml:space="preserve">الأمن المادي</t>
  </si>
  <si>
    <t xml:space="preserve">A.7.1–A.7.4, A.7.14</t>
  </si>
  <si>
    <t xml:space="preserve">R-16</t>
  </si>
  <si>
    <t xml:space="preserve">Badge access and CCTV for server room planned Q3 2026 (T-12).</t>
  </si>
  <si>
    <t xml:space="preserve">2-15</t>
  </si>
  <si>
    <t xml:space="preserve">Web Application Security</t>
  </si>
  <si>
    <t xml:space="preserve">حماية تطبيقات الويب</t>
  </si>
  <si>
    <t xml:space="preserve">A.8.20, A.8.23, A.8.26*</t>
  </si>
  <si>
    <t xml:space="preserve">R-17</t>
  </si>
  <si>
    <t xml:space="preserve">Limited public web footprint; *A.8.26 excluded in SoA (no in-house development) — vendor-supplied apps governed via supplier controls.</t>
  </si>
  <si>
    <t xml:space="preserve">3-1</t>
  </si>
  <si>
    <t xml:space="preserve">Cybersecurity Resilience Aspects of BCM</t>
  </si>
  <si>
    <t xml:space="preserve">جوانب الصمود السيبراني في استمرارية الأعمال</t>
  </si>
  <si>
    <t xml:space="preserve">Resilience</t>
  </si>
  <si>
    <t xml:space="preserve">A.5.29, A.5.30, A.8.14</t>
  </si>
  <si>
    <t xml:space="preserve">R-07, R-11</t>
  </si>
  <si>
    <t xml:space="preserve">DR runbook and WAN redundancy planned Q3 2026 (T-11).</t>
  </si>
  <si>
    <t xml:space="preserve">4-1</t>
  </si>
  <si>
    <t xml:space="preserve">Third-Party Cybersecurity</t>
  </si>
  <si>
    <t xml:space="preserve">الأمن السيبراني المتعلق بالأطراف الخارجية</t>
  </si>
  <si>
    <t xml:space="preserve">Third-Party &amp; Cloud</t>
  </si>
  <si>
    <t xml:space="preserve">A.5.19–A.5.22</t>
  </si>
  <si>
    <t xml:space="preserve">R-10</t>
  </si>
  <si>
    <t xml:space="preserve">Vendor security assessment program planned Q3 2026 (T-07).</t>
  </si>
  <si>
    <t xml:space="preserve">4-2</t>
  </si>
  <si>
    <t xml:space="preserve">Cloud Computing and Hosting Cybersecurity</t>
  </si>
  <si>
    <t xml:space="preserve">الأمن السيبراني للحوسبة السحابية والاستضافة</t>
  </si>
  <si>
    <t xml:space="preserve">A.5.23</t>
  </si>
  <si>
    <t xml:space="preserve">R-15</t>
  </si>
  <si>
    <t xml:space="preserve">M365 governed; SaaS discovery and approval process planned Q4 2026.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</si>
</sst>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14"/>
      <color rgb="FF2E5FA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FFD966"/>
        <bgColor rgb="FFFFFF99"/>
      </patternFill>
    </fill>
    <fill>
      <patternFill patternType="solid">
        <fgColor rgb="FFC00000"/>
        <bgColor rgb="FF8000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ont>
        <b val="1"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ont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05"/>
  </cols>
  <sheetData>
    <row r="2" customFormat="false" ht="24.4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</row>
    <row r="8" customFormat="false" ht="30" hidden="false" customHeight="true" outlineLevel="0" collapsed="false">
      <c r="B8" s="4" t="s">
        <v>5</v>
      </c>
      <c r="C8" s="5" t="s">
        <v>6</v>
      </c>
    </row>
    <row r="10" customFormat="false" ht="30" hidden="false" customHeight="true" outlineLevel="0" collapsed="false">
      <c r="B10" s="4" t="s">
        <v>7</v>
      </c>
      <c r="C10" s="5" t="s">
        <v>8</v>
      </c>
    </row>
    <row r="12" customFormat="false" ht="30" hidden="false" customHeight="true" outlineLevel="0" collapsed="false">
      <c r="B12" s="4" t="s">
        <v>9</v>
      </c>
      <c r="C12" s="5" t="s">
        <v>10</v>
      </c>
    </row>
    <row r="15" customFormat="false" ht="15" hidden="false" customHeight="false" outlineLevel="0" collapsed="false">
      <c r="B15" s="6" t="s">
        <v>11</v>
      </c>
    </row>
    <row r="16" customFormat="false" ht="15" hidden="false" customHeight="false" outlineLevel="0" collapsed="false">
      <c r="B16" s="7" t="s">
        <v>12</v>
      </c>
      <c r="C16" s="8" t="n">
        <f aca="false">COUNTIF(Mapping!G2:G29,"Aligned")</f>
        <v>1</v>
      </c>
    </row>
    <row r="17" customFormat="false" ht="15" hidden="false" customHeight="false" outlineLevel="0" collapsed="false">
      <c r="B17" s="9" t="s">
        <v>13</v>
      </c>
      <c r="C17" s="8" t="n">
        <f aca="false">COUNTIF(Mapping!G2:G29,"Partially aligned")</f>
        <v>17</v>
      </c>
    </row>
    <row r="18" customFormat="false" ht="15" hidden="false" customHeight="false" outlineLevel="0" collapsed="false">
      <c r="B18" s="10" t="s">
        <v>14</v>
      </c>
      <c r="C18" s="8" t="n">
        <f aca="false">COUNTIF(Mapping!G2:G29,"Gap")</f>
        <v>10</v>
      </c>
    </row>
    <row r="19" customFormat="false" ht="15" hidden="false" customHeight="false" outlineLevel="0" collapsed="false">
      <c r="B19" s="11" t="s">
        <v>15</v>
      </c>
      <c r="C19" s="11" t="n">
        <f aca="false">COUNTA(Mapping!A2:A29)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7" min="6" style="0" width="14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  <c r="H1" s="12" t="s">
        <v>23</v>
      </c>
    </row>
    <row r="2" customFormat="false" ht="23.85" hidden="false" customHeight="false" outlineLevel="0" collapsed="false">
      <c r="A2" s="13" t="s">
        <v>24</v>
      </c>
      <c r="B2" s="14" t="s">
        <v>25</v>
      </c>
      <c r="C2" s="15" t="s">
        <v>26</v>
      </c>
      <c r="D2" s="13" t="s">
        <v>27</v>
      </c>
      <c r="E2" s="14" t="s">
        <v>28</v>
      </c>
      <c r="F2" s="13"/>
      <c r="G2" s="13" t="s">
        <v>13</v>
      </c>
      <c r="H2" s="14" t="s">
        <v>29</v>
      </c>
    </row>
    <row r="3" customFormat="false" ht="15" hidden="false" customHeight="false" outlineLevel="0" collapsed="false">
      <c r="A3" s="16" t="s">
        <v>30</v>
      </c>
      <c r="B3" s="17" t="s">
        <v>31</v>
      </c>
      <c r="C3" s="18" t="s">
        <v>32</v>
      </c>
      <c r="D3" s="16" t="s">
        <v>27</v>
      </c>
      <c r="E3" s="17" t="s">
        <v>33</v>
      </c>
      <c r="F3" s="16"/>
      <c r="G3" s="13" t="s">
        <v>13</v>
      </c>
      <c r="H3" s="17" t="s">
        <v>34</v>
      </c>
    </row>
    <row r="4" customFormat="false" ht="23.85" hidden="false" customHeight="false" outlineLevel="0" collapsed="false">
      <c r="A4" s="13" t="s">
        <v>35</v>
      </c>
      <c r="B4" s="14" t="s">
        <v>36</v>
      </c>
      <c r="C4" s="15" t="s">
        <v>37</v>
      </c>
      <c r="D4" s="13" t="s">
        <v>27</v>
      </c>
      <c r="E4" s="14" t="s">
        <v>38</v>
      </c>
      <c r="F4" s="13"/>
      <c r="G4" s="13" t="s">
        <v>13</v>
      </c>
      <c r="H4" s="14" t="s">
        <v>39</v>
      </c>
    </row>
    <row r="5" customFormat="false" ht="23.85" hidden="false" customHeight="false" outlineLevel="0" collapsed="false">
      <c r="A5" s="16" t="s">
        <v>40</v>
      </c>
      <c r="B5" s="17" t="s">
        <v>41</v>
      </c>
      <c r="C5" s="18" t="s">
        <v>42</v>
      </c>
      <c r="D5" s="16" t="s">
        <v>27</v>
      </c>
      <c r="E5" s="17" t="s">
        <v>43</v>
      </c>
      <c r="F5" s="16" t="s">
        <v>44</v>
      </c>
      <c r="G5" s="13" t="s">
        <v>13</v>
      </c>
      <c r="H5" s="17" t="s">
        <v>45</v>
      </c>
    </row>
    <row r="6" customFormat="false" ht="23.85" hidden="false" customHeight="false" outlineLevel="0" collapsed="false">
      <c r="A6" s="13" t="s">
        <v>46</v>
      </c>
      <c r="B6" s="14" t="s">
        <v>47</v>
      </c>
      <c r="C6" s="15" t="s">
        <v>48</v>
      </c>
      <c r="D6" s="13" t="s">
        <v>27</v>
      </c>
      <c r="E6" s="14" t="s">
        <v>49</v>
      </c>
      <c r="F6" s="13" t="s">
        <v>50</v>
      </c>
      <c r="G6" s="13" t="s">
        <v>12</v>
      </c>
      <c r="H6" s="14" t="s">
        <v>51</v>
      </c>
    </row>
    <row r="7" customFormat="false" ht="23.85" hidden="false" customHeight="false" outlineLevel="0" collapsed="false">
      <c r="A7" s="16" t="s">
        <v>52</v>
      </c>
      <c r="B7" s="17" t="s">
        <v>53</v>
      </c>
      <c r="C7" s="18" t="s">
        <v>54</v>
      </c>
      <c r="D7" s="16" t="s">
        <v>27</v>
      </c>
      <c r="E7" s="17" t="s">
        <v>55</v>
      </c>
      <c r="F7" s="16"/>
      <c r="G7" s="13" t="s">
        <v>14</v>
      </c>
      <c r="H7" s="17" t="s">
        <v>56</v>
      </c>
    </row>
    <row r="8" customFormat="false" ht="23.85" hidden="false" customHeight="false" outlineLevel="0" collapsed="false">
      <c r="A8" s="13" t="s">
        <v>57</v>
      </c>
      <c r="B8" s="14" t="s">
        <v>58</v>
      </c>
      <c r="C8" s="15" t="s">
        <v>59</v>
      </c>
      <c r="D8" s="13" t="s">
        <v>27</v>
      </c>
      <c r="E8" s="14" t="s">
        <v>60</v>
      </c>
      <c r="F8" s="13" t="s">
        <v>61</v>
      </c>
      <c r="G8" s="13" t="s">
        <v>13</v>
      </c>
      <c r="H8" s="14" t="s">
        <v>62</v>
      </c>
    </row>
    <row r="9" customFormat="false" ht="23.85" hidden="false" customHeight="false" outlineLevel="0" collapsed="false">
      <c r="A9" s="16" t="s">
        <v>63</v>
      </c>
      <c r="B9" s="17" t="s">
        <v>64</v>
      </c>
      <c r="C9" s="18" t="s">
        <v>65</v>
      </c>
      <c r="D9" s="16" t="s">
        <v>27</v>
      </c>
      <c r="E9" s="17" t="s">
        <v>66</v>
      </c>
      <c r="F9" s="16"/>
      <c r="G9" s="13" t="s">
        <v>14</v>
      </c>
      <c r="H9" s="17" t="s">
        <v>67</v>
      </c>
    </row>
    <row r="10" customFormat="false" ht="23.85" hidden="false" customHeight="false" outlineLevel="0" collapsed="false">
      <c r="A10" s="13" t="s">
        <v>68</v>
      </c>
      <c r="B10" s="14" t="s">
        <v>69</v>
      </c>
      <c r="C10" s="15" t="s">
        <v>70</v>
      </c>
      <c r="D10" s="13" t="s">
        <v>27</v>
      </c>
      <c r="E10" s="14" t="s">
        <v>71</v>
      </c>
      <c r="F10" s="13" t="s">
        <v>72</v>
      </c>
      <c r="G10" s="13" t="s">
        <v>13</v>
      </c>
      <c r="H10" s="14" t="s">
        <v>73</v>
      </c>
    </row>
    <row r="11" customFormat="false" ht="23.85" hidden="false" customHeight="false" outlineLevel="0" collapsed="false">
      <c r="A11" s="16" t="s">
        <v>74</v>
      </c>
      <c r="B11" s="17" t="s">
        <v>75</v>
      </c>
      <c r="C11" s="18" t="s">
        <v>76</v>
      </c>
      <c r="D11" s="16" t="s">
        <v>27</v>
      </c>
      <c r="E11" s="17" t="s">
        <v>77</v>
      </c>
      <c r="F11" s="16" t="s">
        <v>78</v>
      </c>
      <c r="G11" s="13" t="s">
        <v>14</v>
      </c>
      <c r="H11" s="17" t="s">
        <v>79</v>
      </c>
    </row>
    <row r="12" customFormat="false" ht="23.85" hidden="false" customHeight="false" outlineLevel="0" collapsed="false">
      <c r="A12" s="13" t="s">
        <v>80</v>
      </c>
      <c r="B12" s="14" t="s">
        <v>81</v>
      </c>
      <c r="C12" s="15" t="s">
        <v>82</v>
      </c>
      <c r="D12" s="13" t="s">
        <v>83</v>
      </c>
      <c r="E12" s="14" t="s">
        <v>84</v>
      </c>
      <c r="F12" s="13"/>
      <c r="G12" s="13" t="s">
        <v>13</v>
      </c>
      <c r="H12" s="14" t="s">
        <v>85</v>
      </c>
    </row>
    <row r="13" customFormat="false" ht="23.85" hidden="false" customHeight="false" outlineLevel="0" collapsed="false">
      <c r="A13" s="16" t="s">
        <v>86</v>
      </c>
      <c r="B13" s="17" t="s">
        <v>87</v>
      </c>
      <c r="C13" s="18" t="s">
        <v>88</v>
      </c>
      <c r="D13" s="16" t="s">
        <v>83</v>
      </c>
      <c r="E13" s="17" t="s">
        <v>89</v>
      </c>
      <c r="F13" s="16" t="s">
        <v>90</v>
      </c>
      <c r="G13" s="13" t="s">
        <v>14</v>
      </c>
      <c r="H13" s="17" t="s">
        <v>91</v>
      </c>
    </row>
    <row r="14" customFormat="false" ht="23.85" hidden="false" customHeight="false" outlineLevel="0" collapsed="false">
      <c r="A14" s="13" t="s">
        <v>92</v>
      </c>
      <c r="B14" s="14" t="s">
        <v>93</v>
      </c>
      <c r="C14" s="15" t="s">
        <v>94</v>
      </c>
      <c r="D14" s="13" t="s">
        <v>83</v>
      </c>
      <c r="E14" s="14" t="s">
        <v>95</v>
      </c>
      <c r="F14" s="13" t="s">
        <v>96</v>
      </c>
      <c r="G14" s="13" t="s">
        <v>13</v>
      </c>
      <c r="H14" s="14" t="s">
        <v>97</v>
      </c>
    </row>
    <row r="15" customFormat="false" ht="23.85" hidden="false" customHeight="false" outlineLevel="0" collapsed="false">
      <c r="A15" s="16" t="s">
        <v>98</v>
      </c>
      <c r="B15" s="17" t="s">
        <v>99</v>
      </c>
      <c r="C15" s="18" t="s">
        <v>100</v>
      </c>
      <c r="D15" s="16" t="s">
        <v>83</v>
      </c>
      <c r="E15" s="17" t="s">
        <v>101</v>
      </c>
      <c r="F15" s="16" t="s">
        <v>102</v>
      </c>
      <c r="G15" s="13" t="s">
        <v>13</v>
      </c>
      <c r="H15" s="17" t="s">
        <v>103</v>
      </c>
    </row>
    <row r="16" customFormat="false" ht="15" hidden="false" customHeight="false" outlineLevel="0" collapsed="false">
      <c r="A16" s="13" t="s">
        <v>104</v>
      </c>
      <c r="B16" s="14" t="s">
        <v>105</v>
      </c>
      <c r="C16" s="15" t="s">
        <v>106</v>
      </c>
      <c r="D16" s="13" t="s">
        <v>83</v>
      </c>
      <c r="E16" s="14" t="s">
        <v>107</v>
      </c>
      <c r="F16" s="13" t="s">
        <v>108</v>
      </c>
      <c r="G16" s="13" t="s">
        <v>13</v>
      </c>
      <c r="H16" s="14" t="s">
        <v>109</v>
      </c>
    </row>
    <row r="17" customFormat="false" ht="23.85" hidden="false" customHeight="false" outlineLevel="0" collapsed="false">
      <c r="A17" s="16" t="s">
        <v>110</v>
      </c>
      <c r="B17" s="17" t="s">
        <v>111</v>
      </c>
      <c r="C17" s="18" t="s">
        <v>112</v>
      </c>
      <c r="D17" s="16" t="s">
        <v>83</v>
      </c>
      <c r="E17" s="17" t="s">
        <v>113</v>
      </c>
      <c r="F17" s="16" t="s">
        <v>114</v>
      </c>
      <c r="G17" s="13" t="s">
        <v>13</v>
      </c>
      <c r="H17" s="17" t="s">
        <v>115</v>
      </c>
    </row>
    <row r="18" customFormat="false" ht="23.85" hidden="false" customHeight="false" outlineLevel="0" collapsed="false">
      <c r="A18" s="13" t="s">
        <v>116</v>
      </c>
      <c r="B18" s="14" t="s">
        <v>117</v>
      </c>
      <c r="C18" s="15" t="s">
        <v>118</v>
      </c>
      <c r="D18" s="13" t="s">
        <v>83</v>
      </c>
      <c r="E18" s="14" t="s">
        <v>119</v>
      </c>
      <c r="F18" s="13" t="s">
        <v>120</v>
      </c>
      <c r="G18" s="13" t="s">
        <v>14</v>
      </c>
      <c r="H18" s="14" t="s">
        <v>121</v>
      </c>
    </row>
    <row r="19" customFormat="false" ht="23.85" hidden="false" customHeight="false" outlineLevel="0" collapsed="false">
      <c r="A19" s="16" t="s">
        <v>122</v>
      </c>
      <c r="B19" s="17" t="s">
        <v>123</v>
      </c>
      <c r="C19" s="18" t="s">
        <v>124</v>
      </c>
      <c r="D19" s="16" t="s">
        <v>83</v>
      </c>
      <c r="E19" s="17" t="s">
        <v>125</v>
      </c>
      <c r="F19" s="16" t="s">
        <v>126</v>
      </c>
      <c r="G19" s="13" t="s">
        <v>13</v>
      </c>
      <c r="H19" s="17" t="s">
        <v>127</v>
      </c>
    </row>
    <row r="20" customFormat="false" ht="23.85" hidden="false" customHeight="false" outlineLevel="0" collapsed="false">
      <c r="A20" s="13" t="s">
        <v>128</v>
      </c>
      <c r="B20" s="14" t="s">
        <v>129</v>
      </c>
      <c r="C20" s="15" t="s">
        <v>130</v>
      </c>
      <c r="D20" s="13" t="s">
        <v>83</v>
      </c>
      <c r="E20" s="14" t="s">
        <v>131</v>
      </c>
      <c r="F20" s="13" t="s">
        <v>132</v>
      </c>
      <c r="G20" s="13" t="s">
        <v>13</v>
      </c>
      <c r="H20" s="14" t="s">
        <v>133</v>
      </c>
    </row>
    <row r="21" customFormat="false" ht="23.85" hidden="false" customHeight="false" outlineLevel="0" collapsed="false">
      <c r="A21" s="16" t="s">
        <v>134</v>
      </c>
      <c r="B21" s="17" t="s">
        <v>135</v>
      </c>
      <c r="C21" s="18" t="s">
        <v>136</v>
      </c>
      <c r="D21" s="16" t="s">
        <v>83</v>
      </c>
      <c r="E21" s="17" t="s">
        <v>137</v>
      </c>
      <c r="F21" s="16" t="s">
        <v>138</v>
      </c>
      <c r="G21" s="13" t="s">
        <v>14</v>
      </c>
      <c r="H21" s="17" t="s">
        <v>139</v>
      </c>
    </row>
    <row r="22" customFormat="false" ht="23.85" hidden="false" customHeight="false" outlineLevel="0" collapsed="false">
      <c r="A22" s="13" t="s">
        <v>140</v>
      </c>
      <c r="B22" s="14" t="s">
        <v>141</v>
      </c>
      <c r="C22" s="15" t="s">
        <v>142</v>
      </c>
      <c r="D22" s="13" t="s">
        <v>83</v>
      </c>
      <c r="E22" s="14" t="s">
        <v>143</v>
      </c>
      <c r="F22" s="13" t="s">
        <v>138</v>
      </c>
      <c r="G22" s="13" t="s">
        <v>14</v>
      </c>
      <c r="H22" s="14" t="s">
        <v>144</v>
      </c>
    </row>
    <row r="23" customFormat="false" ht="23.85" hidden="false" customHeight="false" outlineLevel="0" collapsed="false">
      <c r="A23" s="16" t="s">
        <v>145</v>
      </c>
      <c r="B23" s="17" t="s">
        <v>146</v>
      </c>
      <c r="C23" s="18" t="s">
        <v>147</v>
      </c>
      <c r="D23" s="16" t="s">
        <v>83</v>
      </c>
      <c r="E23" s="17" t="s">
        <v>148</v>
      </c>
      <c r="F23" s="16" t="s">
        <v>149</v>
      </c>
      <c r="G23" s="13" t="s">
        <v>13</v>
      </c>
      <c r="H23" s="17" t="s">
        <v>150</v>
      </c>
    </row>
    <row r="24" customFormat="false" ht="23.85" hidden="false" customHeight="false" outlineLevel="0" collapsed="false">
      <c r="A24" s="13" t="s">
        <v>151</v>
      </c>
      <c r="B24" s="14" t="s">
        <v>152</v>
      </c>
      <c r="C24" s="15" t="s">
        <v>153</v>
      </c>
      <c r="D24" s="13" t="s">
        <v>83</v>
      </c>
      <c r="E24" s="14" t="s">
        <v>154</v>
      </c>
      <c r="F24" s="13" t="s">
        <v>155</v>
      </c>
      <c r="G24" s="13" t="s">
        <v>14</v>
      </c>
      <c r="H24" s="14" t="s">
        <v>156</v>
      </c>
    </row>
    <row r="25" customFormat="false" ht="23.85" hidden="false" customHeight="false" outlineLevel="0" collapsed="false">
      <c r="A25" s="16" t="s">
        <v>157</v>
      </c>
      <c r="B25" s="17" t="s">
        <v>158</v>
      </c>
      <c r="C25" s="18" t="s">
        <v>159</v>
      </c>
      <c r="D25" s="16" t="s">
        <v>83</v>
      </c>
      <c r="E25" s="17" t="s">
        <v>160</v>
      </c>
      <c r="F25" s="16" t="s">
        <v>161</v>
      </c>
      <c r="G25" s="13" t="s">
        <v>13</v>
      </c>
      <c r="H25" s="17" t="s">
        <v>162</v>
      </c>
    </row>
    <row r="26" customFormat="false" ht="35.05" hidden="false" customHeight="false" outlineLevel="0" collapsed="false">
      <c r="A26" s="13" t="s">
        <v>163</v>
      </c>
      <c r="B26" s="14" t="s">
        <v>164</v>
      </c>
      <c r="C26" s="15" t="s">
        <v>165</v>
      </c>
      <c r="D26" s="13" t="s">
        <v>83</v>
      </c>
      <c r="E26" s="14" t="s">
        <v>166</v>
      </c>
      <c r="F26" s="13" t="s">
        <v>167</v>
      </c>
      <c r="G26" s="13" t="s">
        <v>13</v>
      </c>
      <c r="H26" s="14" t="s">
        <v>168</v>
      </c>
    </row>
    <row r="27" customFormat="false" ht="23.85" hidden="false" customHeight="false" outlineLevel="0" collapsed="false">
      <c r="A27" s="16" t="s">
        <v>169</v>
      </c>
      <c r="B27" s="17" t="s">
        <v>170</v>
      </c>
      <c r="C27" s="18" t="s">
        <v>171</v>
      </c>
      <c r="D27" s="16" t="s">
        <v>172</v>
      </c>
      <c r="E27" s="17" t="s">
        <v>173</v>
      </c>
      <c r="F27" s="16" t="s">
        <v>174</v>
      </c>
      <c r="G27" s="13" t="s">
        <v>14</v>
      </c>
      <c r="H27" s="17" t="s">
        <v>175</v>
      </c>
    </row>
    <row r="28" customFormat="false" ht="23.85" hidden="false" customHeight="false" outlineLevel="0" collapsed="false">
      <c r="A28" s="13" t="s">
        <v>176</v>
      </c>
      <c r="B28" s="14" t="s">
        <v>177</v>
      </c>
      <c r="C28" s="15" t="s">
        <v>178</v>
      </c>
      <c r="D28" s="13" t="s">
        <v>179</v>
      </c>
      <c r="E28" s="14" t="s">
        <v>180</v>
      </c>
      <c r="F28" s="13" t="s">
        <v>181</v>
      </c>
      <c r="G28" s="13" t="s">
        <v>14</v>
      </c>
      <c r="H28" s="14" t="s">
        <v>182</v>
      </c>
    </row>
    <row r="29" customFormat="false" ht="23.85" hidden="false" customHeight="false" outlineLevel="0" collapsed="false">
      <c r="A29" s="16" t="s">
        <v>183</v>
      </c>
      <c r="B29" s="17" t="s">
        <v>184</v>
      </c>
      <c r="C29" s="18" t="s">
        <v>185</v>
      </c>
      <c r="D29" s="16" t="s">
        <v>179</v>
      </c>
      <c r="E29" s="17" t="s">
        <v>186</v>
      </c>
      <c r="F29" s="16" t="s">
        <v>187</v>
      </c>
      <c r="G29" s="13" t="s">
        <v>13</v>
      </c>
      <c r="H29" s="17" t="s">
        <v>188</v>
      </c>
    </row>
  </sheetData>
  <autoFilter ref="A1:H29"/>
  <conditionalFormatting sqref="G2:G29">
    <cfRule type="cellIs" priority="2" operator="equal" aboveAverage="0" equalAverage="0" bottom="0" percent="0" rank="0" text="" dxfId="7">
      <formula>"Aligned"</formula>
    </cfRule>
    <cfRule type="cellIs" priority="3" operator="equal" aboveAverage="0" equalAverage="0" bottom="0" percent="0" rank="0" text="" dxfId="8">
      <formula>"Partially aligned"</formula>
    </cfRule>
    <cfRule type="cellIs" priority="4" operator="equal" aboveAverage="0" equalAverage="0" bottom="0" percent="0" rank="0" text="" dxfId="9">
      <formula>"Gap"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2026-07-05T09:11:27Z</dcterms:created>
  <dc:creator>Reem Ibrahim</dc:creator>
  <dc:description/>
  <dc:language>en-US</dc:language>
  <cp:lastModifiedBy>Reem Ibrahim</cp:lastModifiedBy>
  <dcterms:modified xsi:type="dcterms:W3CDTF">2026-07-05T09:11:27Z</dcterms:modified>
  <cp:revision>0</cp:revision>
  <dc:subject/>
  <dc:title>NCA ECC-2:2024 to ISO/IEC 27001:2022 Mapping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