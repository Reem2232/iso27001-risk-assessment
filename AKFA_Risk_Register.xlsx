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sset Register" sheetId="2" state="visible" r:id="rId2"/>
    <sheet xmlns:r="http://schemas.openxmlformats.org/officeDocument/2006/relationships" name="Risk Register" sheetId="3" state="visible" r:id="rId3"/>
    <sheet xmlns:r="http://schemas.openxmlformats.org/officeDocument/2006/relationships" name="Risk Matrix" sheetId="4" state="visible" r:id="rId4"/>
    <sheet xmlns:r="http://schemas.openxmlformats.org/officeDocument/2006/relationships" name="Treatment Plan" sheetId="5" state="visible" r:id="rId5"/>
  </sheets>
  <definedNames>
    <definedName name="_xlnm._FilterDatabase" localSheetId="2" hidden="1">'Risk Register'!$A$1:$R$19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20"/>
    </font>
    <font>
      <name val="Arial"/>
      <charset val="1"/>
      <family val="0"/>
      <color rgb="FF2E5FA3"/>
      <sz val="14"/>
    </font>
    <font>
      <name val="Arial"/>
      <charset val="1"/>
      <family val="0"/>
      <i val="1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b val="1"/>
      <sz val="10"/>
    </font>
    <font>
      <name val="Arial"/>
      <charset val="1"/>
      <family val="0"/>
      <b val="1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1F3864"/>
      <sz val="12"/>
    </font>
    <font>
      <name val="Arial"/>
      <charset val="1"/>
      <family val="0"/>
      <b val="1"/>
      <color rgb="FF000000"/>
      <sz val="10"/>
    </font>
  </fonts>
  <fills count="8">
    <fill>
      <patternFill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339966"/>
      </patternFill>
    </fill>
    <fill>
      <patternFill patternType="solid">
        <fgColor rgb="FF1F3864"/>
        <bgColor rgb="FF333333"/>
      </patternFill>
    </fill>
    <fill>
      <patternFill patternType="solid">
        <fgColor rgb="FFF8CBAD"/>
        <bgColor rgb="FFFFD966"/>
      </patternFill>
    </fill>
    <fill>
      <patternFill patternType="solid">
        <fgColor rgb="FFFFD966"/>
        <bgColor rgb="FFF8CBA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0" fontId="10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top" wrapText="1"/>
    </xf>
    <xf numFmtId="0" fontId="8" fillId="6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general" vertical="bottom"/>
    </xf>
    <xf numFmtId="0" fontId="17" fillId="7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0" fontId="10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top" wrapText="1"/>
    </xf>
    <xf numFmtId="0" fontId="8" fillId="6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general" vertical="bottom"/>
    </xf>
    <xf numFmtId="0" fontId="17" fillId="7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ont>
        <b val="1"/>
        <color rgb="FFFFFFFF"/>
      </font>
      <fill>
        <patternFill>
          <bgColor rgb="FFC00000"/>
        </patternFill>
      </fill>
    </dxf>
    <dxf>
      <fill>
        <patternFill>
          <bgColor rgb="FFFFD966"/>
        </patternFill>
      </fill>
    </dxf>
    <dxf>
      <font>
        <color rgb="FFFFFFFF"/>
      </font>
      <fill>
        <patternFill>
          <bgColor rgb="FF70AD47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ED7D31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6" customWidth="1" style="24" min="2" max="2"/>
    <col width="95" customWidth="1" style="24" min="3" max="3"/>
  </cols>
  <sheetData>
    <row r="1"/>
    <row r="2" ht="24.45" customHeight="1" s="25">
      <c r="B2" s="26" t="inlineStr">
        <is>
          <t>AKFA Trading Group</t>
        </is>
      </c>
    </row>
    <row r="3" ht="17.35" customHeight="1" s="25">
      <c r="B3" s="27" t="inlineStr">
        <is>
          <t>Enterprise Information Security Risk Register</t>
        </is>
      </c>
    </row>
    <row r="4" ht="15" customHeight="1" s="25">
      <c r="B4" s="28" t="inlineStr">
        <is>
          <t>Framework: ISO/IEC 27001:2022  |  Prepared: January 2026</t>
        </is>
      </c>
    </row>
    <row r="5"/>
    <row r="6" ht="23.85" customHeight="1" s="25">
      <c r="B6" s="29" t="inlineStr">
        <is>
          <t>Purpose</t>
        </is>
      </c>
      <c r="C6" s="30" t="inlineStr">
        <is>
          <t>Central register of information security risks identified during the enterprise risk assessment, including scoring, treatment decisions, and residual risk.</t>
        </is>
      </c>
    </row>
    <row r="7"/>
    <row r="8" ht="15" customHeight="1" s="25">
      <c r="B8" s="29" t="inlineStr">
        <is>
          <t>Scope</t>
        </is>
      </c>
      <c r="C8" s="30" t="inlineStr">
        <is>
          <t>Microsoft 365, ERP, Finance, HR, Email, File Servers, Backup Infrastructure, Network, Employee Endpoints.</t>
        </is>
      </c>
    </row>
    <row r="9"/>
    <row r="10" ht="15" customHeight="1" s="25">
      <c r="B10" s="29" t="inlineStr">
        <is>
          <t>Methodology</t>
        </is>
      </c>
      <c r="C10" s="30" t="inlineStr">
        <is>
          <t>Risk Score = Likelihood (1-3) x Impact (1-3).  Rating: 1-2 Low, 3-4 Medium, 6-9 High.</t>
        </is>
      </c>
    </row>
    <row r="11"/>
    <row r="12" ht="15" customHeight="1" s="25">
      <c r="B12" s="29" t="inlineStr">
        <is>
          <t>Sheets</t>
        </is>
      </c>
      <c r="C12" s="30" t="inlineStr">
        <is>
          <t>Asset Register | Risk Register | Risk Matrix | Treatment Plan</t>
        </is>
      </c>
    </row>
    <row r="13"/>
    <row r="14" ht="15" customHeight="1" s="25">
      <c r="B14" s="29" t="inlineStr">
        <is>
          <t>Owner</t>
        </is>
      </c>
      <c r="C14" s="30" t="inlineStr">
        <is>
          <t>Information Security Officer (ISO)</t>
        </is>
      </c>
    </row>
    <row r="15"/>
    <row r="16" ht="15" customHeight="1" s="25">
      <c r="B16" s="29" t="inlineStr">
        <is>
          <t>Review cycle</t>
        </is>
      </c>
      <c r="C16" s="30" t="inlineStr">
        <is>
          <t>Quarterly, or after significant change / security incident.</t>
        </is>
      </c>
    </row>
    <row r="17"/>
    <row r="18" ht="15" customHeight="1" s="25">
      <c r="B18" s="31" t="inlineStr">
        <is>
          <t>Risk Rating Key</t>
        </is>
      </c>
    </row>
    <row r="19" ht="15" customHeight="1" s="25">
      <c r="B19" s="32" t="inlineStr">
        <is>
          <t>High</t>
        </is>
      </c>
      <c r="C19" s="33" t="inlineStr">
        <is>
          <t>6 - 9</t>
        </is>
      </c>
    </row>
    <row r="20" ht="15" customHeight="1" s="25">
      <c r="B20" s="34" t="inlineStr">
        <is>
          <t>Medium</t>
        </is>
      </c>
      <c r="C20" s="33" t="inlineStr">
        <is>
          <t>3 - 4</t>
        </is>
      </c>
    </row>
    <row r="21" ht="15" customHeight="1" s="25">
      <c r="B21" s="35" t="inlineStr">
        <is>
          <t>Low</t>
        </is>
      </c>
      <c r="C21" s="33" t="inlineStr">
        <is>
          <t>1 - 2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9" customWidth="1" style="24" min="1" max="1"/>
    <col width="22" customWidth="1" style="24" min="2" max="2"/>
    <col width="14" customWidth="1" style="24" min="3" max="3"/>
    <col width="52" customWidth="1" style="24" min="4" max="4"/>
    <col width="14" customWidth="1" style="24" min="5" max="5"/>
    <col width="15" customWidth="1" style="24" min="6" max="6"/>
    <col width="10" customWidth="1" style="24" min="7" max="7"/>
    <col width="12" customWidth="1" style="24" min="8" max="8"/>
    <col width="11" customWidth="1" style="24" min="9" max="9"/>
  </cols>
  <sheetData>
    <row r="1" ht="15" customHeight="1" s="25">
      <c r="A1" s="36" t="inlineStr">
        <is>
          <t>Asset ID</t>
        </is>
      </c>
      <c r="B1" s="36" t="inlineStr">
        <is>
          <t>Asset Name</t>
        </is>
      </c>
      <c r="C1" s="36" t="inlineStr">
        <is>
          <t>Type</t>
        </is>
      </c>
      <c r="D1" s="36" t="inlineStr">
        <is>
          <t>Description</t>
        </is>
      </c>
      <c r="E1" s="36" t="inlineStr">
        <is>
          <t>Owner</t>
        </is>
      </c>
      <c r="F1" s="36" t="inlineStr">
        <is>
          <t>Confidentiality</t>
        </is>
      </c>
      <c r="G1" s="36" t="inlineStr">
        <is>
          <t>Integrity</t>
        </is>
      </c>
      <c r="H1" s="36" t="inlineStr">
        <is>
          <t>Availability</t>
        </is>
      </c>
      <c r="I1" s="36" t="inlineStr">
        <is>
          <t>Criticality</t>
        </is>
      </c>
    </row>
    <row r="2" ht="23.85" customHeight="1" s="25">
      <c r="A2" s="37" t="inlineStr">
        <is>
          <t>A-01</t>
        </is>
      </c>
      <c r="B2" s="37" t="inlineStr">
        <is>
          <t>ERP System</t>
        </is>
      </c>
      <c r="C2" s="37" t="inlineStr">
        <is>
          <t>Application</t>
        </is>
      </c>
      <c r="D2" s="38" t="inlineStr">
        <is>
          <t>Core business transactions across contracting, food, fisheries, healthcare, logistics and metals divisions</t>
        </is>
      </c>
      <c r="E2" s="37" t="inlineStr">
        <is>
          <t>IT Director</t>
        </is>
      </c>
      <c r="F2" s="37" t="inlineStr">
        <is>
          <t>High</t>
        </is>
      </c>
      <c r="G2" s="37" t="inlineStr">
        <is>
          <t>High</t>
        </is>
      </c>
      <c r="H2" s="37" t="inlineStr">
        <is>
          <t>High</t>
        </is>
      </c>
      <c r="I2" s="39" t="inlineStr">
        <is>
          <t>Critical</t>
        </is>
      </c>
    </row>
    <row r="3" ht="15" customHeight="1" s="25">
      <c r="A3" s="37" t="inlineStr">
        <is>
          <t>A-02</t>
        </is>
      </c>
      <c r="B3" s="37" t="inlineStr">
        <is>
          <t>Financial Database</t>
        </is>
      </c>
      <c r="C3" s="37" t="inlineStr">
        <is>
          <t>Database</t>
        </is>
      </c>
      <c r="D3" s="38" t="inlineStr">
        <is>
          <t>General ledger, AP/AR, payroll and treasury data</t>
        </is>
      </c>
      <c r="E3" s="37" t="inlineStr">
        <is>
          <t>CFO</t>
        </is>
      </c>
      <c r="F3" s="37" t="inlineStr">
        <is>
          <t>High</t>
        </is>
      </c>
      <c r="G3" s="37" t="inlineStr">
        <is>
          <t>High</t>
        </is>
      </c>
      <c r="H3" s="37" t="inlineStr">
        <is>
          <t>High</t>
        </is>
      </c>
      <c r="I3" s="39" t="inlineStr">
        <is>
          <t>Critical</t>
        </is>
      </c>
    </row>
    <row r="4" ht="15" customHeight="1" s="25">
      <c r="A4" s="37" t="inlineStr">
        <is>
          <t>A-03</t>
        </is>
      </c>
      <c r="B4" s="37" t="inlineStr">
        <is>
          <t>Customer Information</t>
        </is>
      </c>
      <c r="C4" s="37" t="inlineStr">
        <is>
          <t>Data</t>
        </is>
      </c>
      <c r="D4" s="38" t="inlineStr">
        <is>
          <t>Customer master data, contracts, pricing, PII</t>
        </is>
      </c>
      <c r="E4" s="37" t="inlineStr">
        <is>
          <t>Sales Director</t>
        </is>
      </c>
      <c r="F4" s="37" t="inlineStr">
        <is>
          <t>High</t>
        </is>
      </c>
      <c r="G4" s="37" t="inlineStr">
        <is>
          <t>High</t>
        </is>
      </c>
      <c r="H4" s="37" t="inlineStr">
        <is>
          <t>Medium</t>
        </is>
      </c>
      <c r="I4" s="39" t="inlineStr">
        <is>
          <t>Critical</t>
        </is>
      </c>
    </row>
    <row r="5" ht="23.85" customHeight="1" s="25">
      <c r="A5" s="37" t="inlineStr">
        <is>
          <t>A-04</t>
        </is>
      </c>
      <c r="B5" s="37" t="inlineStr">
        <is>
          <t>HR Records</t>
        </is>
      </c>
      <c r="C5" s="37" t="inlineStr">
        <is>
          <t>Data</t>
        </is>
      </c>
      <c r="D5" s="38" t="inlineStr">
        <is>
          <t>Employee PII, contracts, payroll, medical records (PDPL-regulated)</t>
        </is>
      </c>
      <c r="E5" s="37" t="inlineStr">
        <is>
          <t>HR Director</t>
        </is>
      </c>
      <c r="F5" s="37" t="inlineStr">
        <is>
          <t>High</t>
        </is>
      </c>
      <c r="G5" s="37" t="inlineStr">
        <is>
          <t>High</t>
        </is>
      </c>
      <c r="H5" s="37" t="inlineStr">
        <is>
          <t>Medium</t>
        </is>
      </c>
      <c r="I5" s="39" t="inlineStr">
        <is>
          <t>Critical</t>
        </is>
      </c>
    </row>
    <row r="6" ht="15" customHeight="1" s="25">
      <c r="A6" s="37" t="inlineStr">
        <is>
          <t>A-05</t>
        </is>
      </c>
      <c r="B6" s="37" t="inlineStr">
        <is>
          <t>Microsoft 365</t>
        </is>
      </c>
      <c r="C6" s="37" t="inlineStr">
        <is>
          <t>Cloud Service</t>
        </is>
      </c>
      <c r="D6" s="38" t="inlineStr">
        <is>
          <t>Email, SharePoint, OneDrive, Teams collaboration</t>
        </is>
      </c>
      <c r="E6" s="37" t="inlineStr">
        <is>
          <t>IT Director</t>
        </is>
      </c>
      <c r="F6" s="37" t="inlineStr">
        <is>
          <t>High</t>
        </is>
      </c>
      <c r="G6" s="37" t="inlineStr">
        <is>
          <t>Medium</t>
        </is>
      </c>
      <c r="H6" s="37" t="inlineStr">
        <is>
          <t>High</t>
        </is>
      </c>
      <c r="I6" s="37" t="inlineStr">
        <is>
          <t>High</t>
        </is>
      </c>
    </row>
    <row r="7" ht="15" customHeight="1" s="25">
      <c r="A7" s="37" t="inlineStr">
        <is>
          <t>A-06</t>
        </is>
      </c>
      <c r="B7" s="37" t="inlineStr">
        <is>
          <t>File Server</t>
        </is>
      </c>
      <c r="C7" s="37" t="inlineStr">
        <is>
          <t>Infrastructure</t>
        </is>
      </c>
      <c r="D7" s="38" t="inlineStr">
        <is>
          <t>Departmental shared drives and project documentation</t>
        </is>
      </c>
      <c r="E7" s="37" t="inlineStr">
        <is>
          <t>IT Manager</t>
        </is>
      </c>
      <c r="F7" s="37" t="inlineStr">
        <is>
          <t>Medium</t>
        </is>
      </c>
      <c r="G7" s="37" t="inlineStr">
        <is>
          <t>High</t>
        </is>
      </c>
      <c r="H7" s="37" t="inlineStr">
        <is>
          <t>High</t>
        </is>
      </c>
      <c r="I7" s="37" t="inlineStr">
        <is>
          <t>High</t>
        </is>
      </c>
    </row>
    <row r="8" ht="15" customHeight="1" s="25">
      <c r="A8" s="37" t="inlineStr">
        <is>
          <t>A-07</t>
        </is>
      </c>
      <c r="B8" s="37" t="inlineStr">
        <is>
          <t>Backup Server</t>
        </is>
      </c>
      <c r="C8" s="37" t="inlineStr">
        <is>
          <t>Infrastructure</t>
        </is>
      </c>
      <c r="D8" s="38" t="inlineStr">
        <is>
          <t>Backup repository for ERP, databases and file shares</t>
        </is>
      </c>
      <c r="E8" s="37" t="inlineStr">
        <is>
          <t>IT Manager</t>
        </is>
      </c>
      <c r="F8" s="37" t="inlineStr">
        <is>
          <t>High</t>
        </is>
      </c>
      <c r="G8" s="37" t="inlineStr">
        <is>
          <t>High</t>
        </is>
      </c>
      <c r="H8" s="37" t="inlineStr">
        <is>
          <t>High</t>
        </is>
      </c>
      <c r="I8" s="39" t="inlineStr">
        <is>
          <t>Critical</t>
        </is>
      </c>
    </row>
    <row r="9" ht="15" customHeight="1" s="25">
      <c r="A9" s="37" t="inlineStr">
        <is>
          <t>A-08</t>
        </is>
      </c>
      <c r="B9" s="37" t="inlineStr">
        <is>
          <t>Network Infrastructure</t>
        </is>
      </c>
      <c r="C9" s="37" t="inlineStr">
        <is>
          <t>Infrastructure</t>
        </is>
      </c>
      <c r="D9" s="38" t="inlineStr">
        <is>
          <t>Core switches, firewalls, VPN, WAN links between sites</t>
        </is>
      </c>
      <c r="E9" s="37" t="inlineStr">
        <is>
          <t>Network Admin</t>
        </is>
      </c>
      <c r="F9" s="37" t="inlineStr">
        <is>
          <t>Medium</t>
        </is>
      </c>
      <c r="G9" s="37" t="inlineStr">
        <is>
          <t>High</t>
        </is>
      </c>
      <c r="H9" s="37" t="inlineStr">
        <is>
          <t>High</t>
        </is>
      </c>
      <c r="I9" s="37" t="inlineStr">
        <is>
          <t>High</t>
        </is>
      </c>
    </row>
    <row r="10" ht="15" customHeight="1" s="25">
      <c r="A10" s="37" t="inlineStr">
        <is>
          <t>A-09</t>
        </is>
      </c>
      <c r="B10" s="37" t="inlineStr">
        <is>
          <t>Employee Endpoints</t>
        </is>
      </c>
      <c r="C10" s="37" t="inlineStr">
        <is>
          <t>Hardware</t>
        </is>
      </c>
      <c r="D10" s="38" t="inlineStr">
        <is>
          <t>Laptops and desktops used across all divisions</t>
        </is>
      </c>
      <c r="E10" s="37" t="inlineStr">
        <is>
          <t>IT Manager</t>
        </is>
      </c>
      <c r="F10" s="37" t="inlineStr">
        <is>
          <t>Medium</t>
        </is>
      </c>
      <c r="G10" s="37" t="inlineStr">
        <is>
          <t>Medium</t>
        </is>
      </c>
      <c r="H10" s="37" t="inlineStr">
        <is>
          <t>Medium</t>
        </is>
      </c>
      <c r="I10" s="37" t="inlineStr">
        <is>
          <t>Medium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R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8" customWidth="1" style="24" min="1" max="1"/>
    <col width="20" customWidth="1" style="24" min="2" max="2"/>
    <col width="24" customWidth="1" style="24" min="3" max="3"/>
    <col width="30" customWidth="1" style="24" min="4" max="4"/>
    <col width="26" customWidth="1" style="24" min="5" max="5"/>
    <col width="11" customWidth="1" style="24" min="6" max="6"/>
    <col width="9" customWidth="1" style="24" min="7" max="8"/>
    <col width="10" customWidth="1" style="24" min="9" max="9"/>
    <col width="13" customWidth="1" style="24" min="10" max="10"/>
    <col width="42" customWidth="1" style="24" min="11" max="11"/>
    <col width="16" customWidth="1" style="24" min="12" max="12"/>
    <col width="13" customWidth="1" style="24" min="13" max="13"/>
    <col width="11" customWidth="1" style="24" min="14" max="14"/>
    <col width="9" customWidth="1" style="24" min="15" max="17"/>
    <col width="10" customWidth="1" style="24" min="18" max="18"/>
  </cols>
  <sheetData>
    <row r="1" ht="35.05" customHeight="1" s="25">
      <c r="A1" s="36" t="inlineStr">
        <is>
          <t>Risk ID</t>
        </is>
      </c>
      <c r="B1" s="36" t="inlineStr">
        <is>
          <t>Affected Asset(s)</t>
        </is>
      </c>
      <c r="C1" s="36" t="inlineStr">
        <is>
          <t>Threat</t>
        </is>
      </c>
      <c r="D1" s="36" t="inlineStr">
        <is>
          <t>Vulnerability</t>
        </is>
      </c>
      <c r="E1" s="36" t="inlineStr">
        <is>
          <t>Existing Controls</t>
        </is>
      </c>
      <c r="F1" s="36" t="inlineStr">
        <is>
          <t>Likelihood (1-3)</t>
        </is>
      </c>
      <c r="G1" s="36" t="inlineStr">
        <is>
          <t>Impact (1-3)</t>
        </is>
      </c>
      <c r="H1" s="36" t="inlineStr">
        <is>
          <t>Risk Score</t>
        </is>
      </c>
      <c r="I1" s="36" t="inlineStr">
        <is>
          <t>Risk Rating</t>
        </is>
      </c>
      <c r="J1" s="36" t="inlineStr">
        <is>
          <t>Treatment Option</t>
        </is>
      </c>
      <c r="K1" s="36" t="inlineStr">
        <is>
          <t>Recommended Controls</t>
        </is>
      </c>
      <c r="L1" s="36" t="inlineStr">
        <is>
          <t>ISO 27001 Annex A</t>
        </is>
      </c>
      <c r="M1" s="36" t="inlineStr">
        <is>
          <t>Risk Owner</t>
        </is>
      </c>
      <c r="N1" s="36" t="inlineStr">
        <is>
          <t>Target Date</t>
        </is>
      </c>
      <c r="O1" s="36" t="inlineStr">
        <is>
          <t>Residual L</t>
        </is>
      </c>
      <c r="P1" s="36" t="inlineStr">
        <is>
          <t>Residual I</t>
        </is>
      </c>
      <c r="Q1" s="36" t="inlineStr">
        <is>
          <t>Residual Score</t>
        </is>
      </c>
      <c r="R1" s="36" t="inlineStr">
        <is>
          <t>Residual Rating</t>
        </is>
      </c>
    </row>
    <row r="2" ht="35.05" customHeight="1" s="25">
      <c r="A2" s="37" t="inlineStr">
        <is>
          <t>R-01</t>
        </is>
      </c>
      <c r="B2" s="38" t="inlineStr">
        <is>
          <t>Microsoft 365 / Email</t>
        </is>
      </c>
      <c r="C2" s="38" t="inlineStr">
        <is>
          <t>Phishing &amp; credential harvesting</t>
        </is>
      </c>
      <c r="D2" s="38" t="inlineStr">
        <is>
          <t>Users insufficiently trained; no phishing simulation program</t>
        </is>
      </c>
      <c r="E2" s="38" t="inlineStr">
        <is>
          <t>Email spam filter; basic awareness briefing at induction</t>
        </is>
      </c>
      <c r="F2" s="37" t="n">
        <v>3</v>
      </c>
      <c r="G2" s="37" t="n">
        <v>3</v>
      </c>
      <c r="H2" s="37">
        <f>F2*G2</f>
        <v/>
      </c>
      <c r="I2" s="37">
        <f>IF(H2&gt;=6,"High",IF(H2&gt;=3,"Medium","Low"))</f>
        <v/>
      </c>
      <c r="J2" s="37" t="inlineStr">
        <is>
          <t>Mitigate</t>
        </is>
      </c>
      <c r="K2" s="38" t="inlineStr">
        <is>
          <t>Quarterly phishing simulations; targeted awareness training; report-phish button; conditional access policies</t>
        </is>
      </c>
      <c r="L2" s="37" t="inlineStr">
        <is>
          <t>A.6.3, A.8.5, A.5.17</t>
        </is>
      </c>
      <c r="M2" s="37" t="inlineStr">
        <is>
          <t>IT Security</t>
        </is>
      </c>
      <c r="N2" s="37" t="inlineStr">
        <is>
          <t>Q1 2026</t>
        </is>
      </c>
      <c r="O2" s="37" t="n">
        <v>2</v>
      </c>
      <c r="P2" s="37" t="n">
        <v>2</v>
      </c>
      <c r="Q2" s="37">
        <f>O2*P2</f>
        <v/>
      </c>
      <c r="R2" s="37">
        <f>IF(Q2&gt;=6,"High",IF(Q2&gt;=3,"Medium","Low"))</f>
        <v/>
      </c>
    </row>
    <row r="3" ht="35.05" customHeight="1" s="25">
      <c r="A3" s="37" t="inlineStr">
        <is>
          <t>R-02</t>
        </is>
      </c>
      <c r="B3" s="38" t="inlineStr">
        <is>
          <t>ERP / File Server / Backups</t>
        </is>
      </c>
      <c r="C3" s="38" t="inlineStr">
        <is>
          <t>Ransomware attack</t>
        </is>
      </c>
      <c r="D3" s="38" t="inlineStr">
        <is>
          <t>Flat network; inconsistent patching; backups not tested for restore</t>
        </is>
      </c>
      <c r="E3" s="38" t="inlineStr">
        <is>
          <t>AV on endpoints; perimeter firewall; daily backups</t>
        </is>
      </c>
      <c r="F3" s="37" t="n">
        <v>2</v>
      </c>
      <c r="G3" s="37" t="n">
        <v>3</v>
      </c>
      <c r="H3" s="37">
        <f>F3*G3</f>
        <v/>
      </c>
      <c r="I3" s="37">
        <f>IF(H3&gt;=6,"High",IF(H3&gt;=3,"Medium","Low"))</f>
        <v/>
      </c>
      <c r="J3" s="37" t="inlineStr">
        <is>
          <t>Mitigate</t>
        </is>
      </c>
      <c r="K3" s="38" t="inlineStr">
        <is>
          <t>EDR deployment; network segmentation; immutable/offline backup copy; quarterly restore tests; incident response playbook</t>
        </is>
      </c>
      <c r="L3" s="37" t="inlineStr">
        <is>
          <t>A.8.7, A.8.8, A.8.13, A.5.24</t>
        </is>
      </c>
      <c r="M3" s="37" t="inlineStr">
        <is>
          <t>IT Director</t>
        </is>
      </c>
      <c r="N3" s="37" t="inlineStr">
        <is>
          <t>Q2 2026</t>
        </is>
      </c>
      <c r="O3" s="37" t="n">
        <v>1</v>
      </c>
      <c r="P3" s="37" t="n">
        <v>3</v>
      </c>
      <c r="Q3" s="37">
        <f>O3*P3</f>
        <v/>
      </c>
      <c r="R3" s="37">
        <f>IF(Q3&gt;=6,"High",IF(Q3&gt;=3,"Medium","Low"))</f>
        <v/>
      </c>
    </row>
    <row r="4" ht="23.85" customHeight="1" s="25">
      <c r="A4" s="37" t="inlineStr">
        <is>
          <t>R-03</t>
        </is>
      </c>
      <c r="B4" s="38" t="inlineStr">
        <is>
          <t>Financial Database</t>
        </is>
      </c>
      <c r="C4" s="38" t="inlineStr">
        <is>
          <t>Business email compromise / invoice fraud</t>
        </is>
      </c>
      <c r="D4" s="38" t="inlineStr">
        <is>
          <t>No dual approval for payment changes; spoofing possible</t>
        </is>
      </c>
      <c r="E4" s="38" t="inlineStr">
        <is>
          <t>Manager approval for payments</t>
        </is>
      </c>
      <c r="F4" s="37" t="n">
        <v>2</v>
      </c>
      <c r="G4" s="37" t="n">
        <v>3</v>
      </c>
      <c r="H4" s="37">
        <f>F4*G4</f>
        <v/>
      </c>
      <c r="I4" s="37">
        <f>IF(H4&gt;=6,"High",IF(H4&gt;=3,"Medium","Low"))</f>
        <v/>
      </c>
      <c r="J4" s="37" t="inlineStr">
        <is>
          <t>Mitigate</t>
        </is>
      </c>
      <c r="K4" s="38" t="inlineStr">
        <is>
          <t>DMARC/DKIM/SPF enforcement; dual-control on bank detail changes; finance-specific fraud training</t>
        </is>
      </c>
      <c r="L4" s="37" t="inlineStr">
        <is>
          <t>A.5.14, A.6.3, A.8.5</t>
        </is>
      </c>
      <c r="M4" s="37" t="inlineStr">
        <is>
          <t>CFO</t>
        </is>
      </c>
      <c r="N4" s="37" t="inlineStr">
        <is>
          <t>Q1 2026</t>
        </is>
      </c>
      <c r="O4" s="37" t="n">
        <v>1</v>
      </c>
      <c r="P4" s="37" t="n">
        <v>3</v>
      </c>
      <c r="Q4" s="37">
        <f>O4*P4</f>
        <v/>
      </c>
      <c r="R4" s="37">
        <f>IF(Q4&gt;=6,"High",IF(Q4&gt;=3,"Medium","Low"))</f>
        <v/>
      </c>
    </row>
    <row r="5" ht="35.05" customHeight="1" s="25">
      <c r="A5" s="37" t="inlineStr">
        <is>
          <t>R-04</t>
        </is>
      </c>
      <c r="B5" s="38" t="inlineStr">
        <is>
          <t>All privileged systems</t>
        </is>
      </c>
      <c r="C5" s="38" t="inlineStr">
        <is>
          <t>Abuse of privileged accounts</t>
        </is>
      </c>
      <c r="D5" s="38" t="inlineStr">
        <is>
          <t>No PAM solution; shared admin accounts; no session logging</t>
        </is>
      </c>
      <c r="E5" s="38" t="inlineStr">
        <is>
          <t>Admin passwords held by IT team</t>
        </is>
      </c>
      <c r="F5" s="37" t="n">
        <v>2</v>
      </c>
      <c r="G5" s="37" t="n">
        <v>3</v>
      </c>
      <c r="H5" s="37">
        <f>F5*G5</f>
        <v/>
      </c>
      <c r="I5" s="37">
        <f>IF(H5&gt;=6,"High",IF(H5&gt;=3,"Medium","Low"))</f>
        <v/>
      </c>
      <c r="J5" s="37" t="inlineStr">
        <is>
          <t>Mitigate</t>
        </is>
      </c>
      <c r="K5" s="38" t="inlineStr">
        <is>
          <t>Deploy PAM (vaulting, session recording); eliminate shared accounts; just-in-time admin access; quarterly privilege reviews</t>
        </is>
      </c>
      <c r="L5" s="37" t="inlineStr">
        <is>
          <t>A.8.2, A.5.18, A.8.15</t>
        </is>
      </c>
      <c r="M5" s="37" t="inlineStr">
        <is>
          <t>IT Security</t>
        </is>
      </c>
      <c r="N5" s="37" t="inlineStr">
        <is>
          <t>Q2 2026</t>
        </is>
      </c>
      <c r="O5" s="37" t="n">
        <v>1</v>
      </c>
      <c r="P5" s="37" t="n">
        <v>3</v>
      </c>
      <c r="Q5" s="37">
        <f>O5*P5</f>
        <v/>
      </c>
      <c r="R5" s="37">
        <f>IF(Q5&gt;=6,"High",IF(Q5&gt;=3,"Medium","Low"))</f>
        <v/>
      </c>
    </row>
    <row r="6" ht="35.05" customHeight="1" s="25">
      <c r="A6" s="37" t="inlineStr">
        <is>
          <t>R-05</t>
        </is>
      </c>
      <c r="B6" s="38" t="inlineStr">
        <is>
          <t>Microsoft 365</t>
        </is>
      </c>
      <c r="C6" s="38" t="inlineStr">
        <is>
          <t>Unauthorized account access</t>
        </is>
      </c>
      <c r="D6" s="38" t="inlineStr">
        <is>
          <t>MFA not enforced for all users; legacy authentication enabled</t>
        </is>
      </c>
      <c r="E6" s="38" t="inlineStr">
        <is>
          <t>MFA enabled for IT staff only</t>
        </is>
      </c>
      <c r="F6" s="37" t="n">
        <v>3</v>
      </c>
      <c r="G6" s="37" t="n">
        <v>3</v>
      </c>
      <c r="H6" s="37">
        <f>F6*G6</f>
        <v/>
      </c>
      <c r="I6" s="37">
        <f>IF(H6&gt;=6,"High",IF(H6&gt;=3,"Medium","Low"))</f>
        <v/>
      </c>
      <c r="J6" s="37" t="inlineStr">
        <is>
          <t>Mitigate</t>
        </is>
      </c>
      <c r="K6" s="38" t="inlineStr">
        <is>
          <t>Enforce MFA tenant-wide; block legacy authentication; conditional access with device compliance</t>
        </is>
      </c>
      <c r="L6" s="37" t="inlineStr">
        <is>
          <t>A.8.5, A.5.15, A.5.17</t>
        </is>
      </c>
      <c r="M6" s="37" t="inlineStr">
        <is>
          <t>IT Security</t>
        </is>
      </c>
      <c r="N6" s="37" t="inlineStr">
        <is>
          <t>Q1 2026</t>
        </is>
      </c>
      <c r="O6" s="37" t="n">
        <v>1</v>
      </c>
      <c r="P6" s="37" t="n">
        <v>3</v>
      </c>
      <c r="Q6" s="37">
        <f>O6*P6</f>
        <v/>
      </c>
      <c r="R6" s="37">
        <f>IF(Q6&gt;=6,"High",IF(Q6&gt;=3,"Medium","Low"))</f>
        <v/>
      </c>
    </row>
    <row r="7" ht="35.05" customHeight="1" s="25">
      <c r="A7" s="37" t="inlineStr">
        <is>
          <t>R-06</t>
        </is>
      </c>
      <c r="B7" s="38" t="inlineStr">
        <is>
          <t>ERP / Servers</t>
        </is>
      </c>
      <c r="C7" s="38" t="inlineStr">
        <is>
          <t>Exploitation of unpatched vulnerabilities</t>
        </is>
      </c>
      <c r="D7" s="38" t="inlineStr">
        <is>
          <t>No formal patch management cycle; legacy OS on some servers</t>
        </is>
      </c>
      <c r="E7" s="38" t="inlineStr">
        <is>
          <t>Ad-hoc patching by IT team</t>
        </is>
      </c>
      <c r="F7" s="37" t="n">
        <v>3</v>
      </c>
      <c r="G7" s="37" t="n">
        <v>3</v>
      </c>
      <c r="H7" s="37">
        <f>F7*G7</f>
        <v/>
      </c>
      <c r="I7" s="37">
        <f>IF(H7&gt;=6,"High",IF(H7&gt;=3,"Medium","Low"))</f>
        <v/>
      </c>
      <c r="J7" s="37" t="inlineStr">
        <is>
          <t>Mitigate</t>
        </is>
      </c>
      <c r="K7" s="38" t="inlineStr">
        <is>
          <t>Monthly patch cycle with SLA by severity; vulnerability scanning; upgrade/segregate legacy systems</t>
        </is>
      </c>
      <c r="L7" s="37" t="inlineStr">
        <is>
          <t>A.8.8, A.8.9, A.8.19</t>
        </is>
      </c>
      <c r="M7" s="37" t="inlineStr">
        <is>
          <t>IT Manager</t>
        </is>
      </c>
      <c r="N7" s="37" t="inlineStr">
        <is>
          <t>Q2 2026</t>
        </is>
      </c>
      <c r="O7" s="37" t="n">
        <v>2</v>
      </c>
      <c r="P7" s="37" t="n">
        <v>2</v>
      </c>
      <c r="Q7" s="37">
        <f>O7*P7</f>
        <v/>
      </c>
      <c r="R7" s="37">
        <f>IF(Q7&gt;=6,"High",IF(Q7&gt;=3,"Medium","Low"))</f>
        <v/>
      </c>
    </row>
    <row r="8" ht="35.05" customHeight="1" s="25">
      <c r="A8" s="37" t="inlineStr">
        <is>
          <t>R-07</t>
        </is>
      </c>
      <c r="B8" s="38" t="inlineStr">
        <is>
          <t>Backup Server</t>
        </is>
      </c>
      <c r="C8" s="38" t="inlineStr">
        <is>
          <t>Backup failure / unrecoverable data</t>
        </is>
      </c>
      <c r="D8" s="38" t="inlineStr">
        <is>
          <t>Restores never tested; backup server on same network segment</t>
        </is>
      </c>
      <c r="E8" s="38" t="inlineStr">
        <is>
          <t>Daily automated backups with alerts</t>
        </is>
      </c>
      <c r="F8" s="37" t="n">
        <v>2</v>
      </c>
      <c r="G8" s="37" t="n">
        <v>3</v>
      </c>
      <c r="H8" s="37">
        <f>F8*G8</f>
        <v/>
      </c>
      <c r="I8" s="37">
        <f>IF(H8&gt;=6,"High",IF(H8&gt;=3,"Medium","Low"))</f>
        <v/>
      </c>
      <c r="J8" s="37" t="inlineStr">
        <is>
          <t>Mitigate</t>
        </is>
      </c>
      <c r="K8" s="38" t="inlineStr">
        <is>
          <t>Quarterly restore testing; 3-2-1 backup strategy with offline copy; separate backup network credentials</t>
        </is>
      </c>
      <c r="L8" s="37" t="inlineStr">
        <is>
          <t>A.8.13, A.5.29, A.5.30</t>
        </is>
      </c>
      <c r="M8" s="37" t="inlineStr">
        <is>
          <t>IT Manager</t>
        </is>
      </c>
      <c r="N8" s="37" t="inlineStr">
        <is>
          <t>Q1 2026</t>
        </is>
      </c>
      <c r="O8" s="37" t="n">
        <v>1</v>
      </c>
      <c r="P8" s="37" t="n">
        <v>3</v>
      </c>
      <c r="Q8" s="37">
        <f>O8*P8</f>
        <v/>
      </c>
      <c r="R8" s="37">
        <f>IF(Q8&gt;=6,"High",IF(Q8&gt;=3,"Medium","Low"))</f>
        <v/>
      </c>
    </row>
    <row r="9" ht="46.25" customHeight="1" s="25">
      <c r="A9" s="37" t="inlineStr">
        <is>
          <t>R-08</t>
        </is>
      </c>
      <c r="B9" s="38" t="inlineStr">
        <is>
          <t>Customer / HR Data</t>
        </is>
      </c>
      <c r="C9" s="38" t="inlineStr">
        <is>
          <t>Insider data theft or misuse</t>
        </is>
      </c>
      <c r="D9" s="38" t="inlineStr">
        <is>
          <t>Broad access rights; no DLP; no leaver access-revocation SLA</t>
        </is>
      </c>
      <c r="E9" s="38" t="inlineStr">
        <is>
          <t>AD access controls; NDA in employment contracts</t>
        </is>
      </c>
      <c r="F9" s="37" t="n">
        <v>2</v>
      </c>
      <c r="G9" s="37" t="n">
        <v>3</v>
      </c>
      <c r="H9" s="37">
        <f>F9*G9</f>
        <v/>
      </c>
      <c r="I9" s="37">
        <f>IF(H9&gt;=6,"High",IF(H9&gt;=3,"Medium","Low"))</f>
        <v/>
      </c>
      <c r="J9" s="37" t="inlineStr">
        <is>
          <t>Mitigate</t>
        </is>
      </c>
      <c r="K9" s="38" t="inlineStr">
        <is>
          <t>Role-based access with quarterly recertification; DLP on email/USB/cloud; same-day leaver deprovisioning; activity monitoring on sensitive shares</t>
        </is>
      </c>
      <c r="L9" s="37" t="inlineStr">
        <is>
          <t>A.5.15, A.5.18, A.8.12, A.6.5</t>
        </is>
      </c>
      <c r="M9" s="37" t="inlineStr">
        <is>
          <t>HR + IT Security</t>
        </is>
      </c>
      <c r="N9" s="37" t="inlineStr">
        <is>
          <t>Q2 2026</t>
        </is>
      </c>
      <c r="O9" s="37" t="n">
        <v>1</v>
      </c>
      <c r="P9" s="37" t="n">
        <v>3</v>
      </c>
      <c r="Q9" s="37">
        <f>O9*P9</f>
        <v/>
      </c>
      <c r="R9" s="37">
        <f>IF(Q9&gt;=6,"High",IF(Q9&gt;=3,"Medium","Low"))</f>
        <v/>
      </c>
    </row>
    <row r="10" ht="23.85" customHeight="1" s="25">
      <c r="A10" s="37" t="inlineStr">
        <is>
          <t>R-09</t>
        </is>
      </c>
      <c r="B10" s="38" t="inlineStr">
        <is>
          <t>Customer / Financial Data</t>
        </is>
      </c>
      <c r="C10" s="38" t="inlineStr">
        <is>
          <t>Data leakage via email, USB or cloud sharing</t>
        </is>
      </c>
      <c r="D10" s="38" t="inlineStr">
        <is>
          <t>Unrestricted USB use; external sharing open in M365</t>
        </is>
      </c>
      <c r="E10" s="38" t="inlineStr">
        <is>
          <t>None specific</t>
        </is>
      </c>
      <c r="F10" s="37" t="n">
        <v>2</v>
      </c>
      <c r="G10" s="37" t="n">
        <v>2</v>
      </c>
      <c r="H10" s="37">
        <f>F10*G10</f>
        <v/>
      </c>
      <c r="I10" s="37">
        <f>IF(H10&gt;=6,"High",IF(H10&gt;=3,"Medium","Low"))</f>
        <v/>
      </c>
      <c r="J10" s="37" t="inlineStr">
        <is>
          <t>Mitigate</t>
        </is>
      </c>
      <c r="K10" s="38" t="inlineStr">
        <is>
          <t>DLP policies; USB device control; M365 external sharing governance; data classification labels</t>
        </is>
      </c>
      <c r="L10" s="37" t="inlineStr">
        <is>
          <t>A.5.12, A.5.13, A.8.12, A.5.14</t>
        </is>
      </c>
      <c r="M10" s="37" t="inlineStr">
        <is>
          <t>IT Security</t>
        </is>
      </c>
      <c r="N10" s="37" t="inlineStr">
        <is>
          <t>Q3 2026</t>
        </is>
      </c>
      <c r="O10" s="37" t="n">
        <v>1</v>
      </c>
      <c r="P10" s="37" t="n">
        <v>2</v>
      </c>
      <c r="Q10" s="37">
        <f>O10*P10</f>
        <v/>
      </c>
      <c r="R10" s="37">
        <f>IF(Q10&gt;=6,"High",IF(Q10&gt;=3,"Medium","Low"))</f>
        <v/>
      </c>
    </row>
    <row r="11" ht="35.05" customHeight="1" s="25">
      <c r="A11" s="37" t="inlineStr">
        <is>
          <t>R-10</t>
        </is>
      </c>
      <c r="B11" s="38" t="inlineStr">
        <is>
          <t>ERP / Logistics systems</t>
        </is>
      </c>
      <c r="C11" s="38" t="inlineStr">
        <is>
          <t>Third-party / vendor compromise</t>
        </is>
      </c>
      <c r="D11" s="38" t="inlineStr">
        <is>
          <t>No vendor security assessments; vendors hold remote access</t>
        </is>
      </c>
      <c r="E11" s="38" t="inlineStr">
        <is>
          <t>Contracts include confidentiality clauses</t>
        </is>
      </c>
      <c r="F11" s="37" t="n">
        <v>2</v>
      </c>
      <c r="G11" s="37" t="n">
        <v>3</v>
      </c>
      <c r="H11" s="37">
        <f>F11*G11</f>
        <v/>
      </c>
      <c r="I11" s="37">
        <f>IF(H11&gt;=6,"High",IF(H11&gt;=3,"Medium","Low"))</f>
        <v/>
      </c>
      <c r="J11" s="37" t="inlineStr">
        <is>
          <t>Mitigate</t>
        </is>
      </c>
      <c r="K11" s="38" t="inlineStr">
        <is>
          <t>Vendor security assessment program; least-privilege time-bound remote access; contractual security requirements and right-to-audit</t>
        </is>
      </c>
      <c r="L11" s="37" t="inlineStr">
        <is>
          <t>A.5.19, A.5.20, A.5.21, A.5.22</t>
        </is>
      </c>
      <c r="M11" s="37" t="inlineStr">
        <is>
          <t>Procurement + IT</t>
        </is>
      </c>
      <c r="N11" s="37" t="inlineStr">
        <is>
          <t>Q3 2026</t>
        </is>
      </c>
      <c r="O11" s="37" t="n">
        <v>1</v>
      </c>
      <c r="P11" s="37" t="n">
        <v>3</v>
      </c>
      <c r="Q11" s="37">
        <f>O11*P11</f>
        <v/>
      </c>
      <c r="R11" s="37">
        <f>IF(Q11&gt;=6,"High",IF(Q11&gt;=3,"Medium","Low"))</f>
        <v/>
      </c>
    </row>
    <row r="12" ht="35.05" customHeight="1" s="25">
      <c r="A12" s="37" t="inlineStr">
        <is>
          <t>R-11</t>
        </is>
      </c>
      <c r="B12" s="38" t="inlineStr">
        <is>
          <t>Network Infrastructure</t>
        </is>
      </c>
      <c r="C12" s="38" t="inlineStr">
        <is>
          <t>Network outage (single points of failure)</t>
        </is>
      </c>
      <c r="D12" s="38" t="inlineStr">
        <is>
          <t>Single WAN link at key sites; aging core switches</t>
        </is>
      </c>
      <c r="E12" s="38" t="inlineStr">
        <is>
          <t>UPS at head office; vendor support contract</t>
        </is>
      </c>
      <c r="F12" s="37" t="n">
        <v>2</v>
      </c>
      <c r="G12" s="37" t="n">
        <v>2</v>
      </c>
      <c r="H12" s="37">
        <f>F12*G12</f>
        <v/>
      </c>
      <c r="I12" s="37">
        <f>IF(H12&gt;=6,"High",IF(H12&gt;=3,"Medium","Low"))</f>
        <v/>
      </c>
      <c r="J12" s="37" t="inlineStr">
        <is>
          <t>Mitigate</t>
        </is>
      </c>
      <c r="K12" s="38" t="inlineStr">
        <is>
          <t>Redundant WAN links for critical sites; lifecycle replacement plan; documented failover procedures; DR runbook</t>
        </is>
      </c>
      <c r="L12" s="37" t="inlineStr">
        <is>
          <t>A.8.14, A.5.29, A.5.30</t>
        </is>
      </c>
      <c r="M12" s="37" t="inlineStr">
        <is>
          <t>Network Admin</t>
        </is>
      </c>
      <c r="N12" s="37" t="inlineStr">
        <is>
          <t>Q3 2026</t>
        </is>
      </c>
      <c r="O12" s="37" t="n">
        <v>1</v>
      </c>
      <c r="P12" s="37" t="n">
        <v>2</v>
      </c>
      <c r="Q12" s="37">
        <f>O12*P12</f>
        <v/>
      </c>
      <c r="R12" s="37">
        <f>IF(Q12&gt;=6,"High",IF(Q12&gt;=3,"Medium","Low"))</f>
        <v/>
      </c>
    </row>
    <row r="13" ht="35.05" customHeight="1" s="25">
      <c r="A13" s="37" t="inlineStr">
        <is>
          <t>R-12</t>
        </is>
      </c>
      <c r="B13" s="38" t="inlineStr">
        <is>
          <t>HR Records</t>
        </is>
      </c>
      <c r="C13" s="38" t="inlineStr">
        <is>
          <t>Privacy breach of employee PII (PDPL non-compliance)</t>
        </is>
      </c>
      <c r="D13" s="38" t="inlineStr">
        <is>
          <t>No data classification; HR files broadly accessible</t>
        </is>
      </c>
      <c r="E13" s="38" t="inlineStr">
        <is>
          <t>HR folder restricted to HR group</t>
        </is>
      </c>
      <c r="F13" s="37" t="n">
        <v>2</v>
      </c>
      <c r="G13" s="37" t="n">
        <v>3</v>
      </c>
      <c r="H13" s="37">
        <f>F13*G13</f>
        <v/>
      </c>
      <c r="I13" s="37">
        <f>IF(H13&gt;=6,"High",IF(H13&gt;=3,"Medium","Low"))</f>
        <v/>
      </c>
      <c r="J13" s="37" t="inlineStr">
        <is>
          <t>Mitigate</t>
        </is>
      </c>
      <c r="K13" s="38" t="inlineStr">
        <is>
          <t>Data classification &amp; handling policy; encrypt HR data at rest; PDPL compliance review; access recertification</t>
        </is>
      </c>
      <c r="L13" s="37" t="inlineStr">
        <is>
          <t>A.5.12, A.5.34, A.8.24</t>
        </is>
      </c>
      <c r="M13" s="37" t="inlineStr">
        <is>
          <t>HR Director</t>
        </is>
      </c>
      <c r="N13" s="37" t="inlineStr">
        <is>
          <t>Q2 2026</t>
        </is>
      </c>
      <c r="O13" s="37" t="n">
        <v>1</v>
      </c>
      <c r="P13" s="37" t="n">
        <v>3</v>
      </c>
      <c r="Q13" s="37">
        <f>O13*P13</f>
        <v/>
      </c>
      <c r="R13" s="37">
        <f>IF(Q13&gt;=6,"High",IF(Q13&gt;=3,"Medium","Low"))</f>
        <v/>
      </c>
    </row>
    <row r="14" ht="35.05" customHeight="1" s="25">
      <c r="A14" s="37" t="inlineStr">
        <is>
          <t>R-13</t>
        </is>
      </c>
      <c r="B14" s="38" t="inlineStr">
        <is>
          <t>Employee Endpoints</t>
        </is>
      </c>
      <c r="C14" s="38" t="inlineStr">
        <is>
          <t>Malware infection via downloads / removable media</t>
        </is>
      </c>
      <c r="D14" s="38" t="inlineStr">
        <is>
          <t>Local admin rights for users; signature-only AV</t>
        </is>
      </c>
      <c r="E14" s="38" t="inlineStr">
        <is>
          <t>Endpoint AV installed</t>
        </is>
      </c>
      <c r="F14" s="37" t="n">
        <v>2</v>
      </c>
      <c r="G14" s="37" t="n">
        <v>2</v>
      </c>
      <c r="H14" s="37">
        <f>F14*G14</f>
        <v/>
      </c>
      <c r="I14" s="37">
        <f>IF(H14&gt;=6,"High",IF(H14&gt;=3,"Medium","Low"))</f>
        <v/>
      </c>
      <c r="J14" s="37" t="inlineStr">
        <is>
          <t>Mitigate</t>
        </is>
      </c>
      <c r="K14" s="38" t="inlineStr">
        <is>
          <t>Remove local admin rights; application allow-listing; EDR with behavioural detection</t>
        </is>
      </c>
      <c r="L14" s="37" t="inlineStr">
        <is>
          <t>A.8.7, A.8.19, A.8.1</t>
        </is>
      </c>
      <c r="M14" s="37" t="inlineStr">
        <is>
          <t>IT Manager</t>
        </is>
      </c>
      <c r="N14" s="37" t="inlineStr">
        <is>
          <t>Q2 2026</t>
        </is>
      </c>
      <c r="O14" s="37" t="n">
        <v>1</v>
      </c>
      <c r="P14" s="37" t="n">
        <v>2</v>
      </c>
      <c r="Q14" s="37">
        <f>O14*P14</f>
        <v/>
      </c>
      <c r="R14" s="37">
        <f>IF(Q14&gt;=6,"High",IF(Q14&gt;=3,"Medium","Low"))</f>
        <v/>
      </c>
    </row>
    <row r="15" ht="23.85" customHeight="1" s="25">
      <c r="A15" s="37" t="inlineStr">
        <is>
          <t>R-14</t>
        </is>
      </c>
      <c r="B15" s="38" t="inlineStr">
        <is>
          <t>Employee Endpoints</t>
        </is>
      </c>
      <c r="C15" s="38" t="inlineStr">
        <is>
          <t>Loss / theft of unencrypted laptop</t>
        </is>
      </c>
      <c r="D15" s="38" t="inlineStr">
        <is>
          <t>Disk encryption not enforced fleet-wide</t>
        </is>
      </c>
      <c r="E15" s="38" t="inlineStr">
        <is>
          <t>Password login required</t>
        </is>
      </c>
      <c r="F15" s="37" t="n">
        <v>2</v>
      </c>
      <c r="G15" s="37" t="n">
        <v>2</v>
      </c>
      <c r="H15" s="37">
        <f>F15*G15</f>
        <v/>
      </c>
      <c r="I15" s="37">
        <f>IF(H15&gt;=6,"High",IF(H15&gt;=3,"Medium","Low"))</f>
        <v/>
      </c>
      <c r="J15" s="37" t="inlineStr">
        <is>
          <t>Mitigate</t>
        </is>
      </c>
      <c r="K15" s="38" t="inlineStr">
        <is>
          <t>Enforce BitLocker via Intune; remote wipe capability; asset tracking</t>
        </is>
      </c>
      <c r="L15" s="37" t="inlineStr">
        <is>
          <t>A.8.1, A.7.9, A.8.24</t>
        </is>
      </c>
      <c r="M15" s="37" t="inlineStr">
        <is>
          <t>IT Manager</t>
        </is>
      </c>
      <c r="N15" s="37" t="inlineStr">
        <is>
          <t>Q1 2026</t>
        </is>
      </c>
      <c r="O15" s="37" t="n">
        <v>1</v>
      </c>
      <c r="P15" s="37" t="n">
        <v>1</v>
      </c>
      <c r="Q15" s="37">
        <f>O15*P15</f>
        <v/>
      </c>
      <c r="R15" s="37">
        <f>IF(Q15&gt;=6,"High",IF(Q15&gt;=3,"Medium","Low"))</f>
        <v/>
      </c>
    </row>
    <row r="16" ht="35.05" customHeight="1" s="25">
      <c r="A16" s="37" t="inlineStr">
        <is>
          <t>R-15</t>
        </is>
      </c>
      <c r="B16" s="38" t="inlineStr">
        <is>
          <t>Microsoft 365 / SaaS</t>
        </is>
      </c>
      <c r="C16" s="38" t="inlineStr">
        <is>
          <t>Shadow IT / unsanctioned cloud apps</t>
        </is>
      </c>
      <c r="D16" s="38" t="inlineStr">
        <is>
          <t>No cloud app discovery or approval process</t>
        </is>
      </c>
      <c r="E16" s="38" t="inlineStr">
        <is>
          <t>None specific</t>
        </is>
      </c>
      <c r="F16" s="37" t="n">
        <v>2</v>
      </c>
      <c r="G16" s="37" t="n">
        <v>2</v>
      </c>
      <c r="H16" s="37">
        <f>F16*G16</f>
        <v/>
      </c>
      <c r="I16" s="37">
        <f>IF(H16&gt;=6,"High",IF(H16&gt;=3,"Medium","Low"))</f>
        <v/>
      </c>
      <c r="J16" s="37" t="inlineStr">
        <is>
          <t>Mitigate</t>
        </is>
      </c>
      <c r="K16" s="38" t="inlineStr">
        <is>
          <t>Cloud app discovery (Defender for Cloud Apps); approved software catalogue; policy on SaaS onboarding</t>
        </is>
      </c>
      <c r="L16" s="37" t="inlineStr">
        <is>
          <t>A.5.23, A.8.19</t>
        </is>
      </c>
      <c r="M16" s="37" t="inlineStr">
        <is>
          <t>IT Security</t>
        </is>
      </c>
      <c r="N16" s="37" t="inlineStr">
        <is>
          <t>Q4 2026</t>
        </is>
      </c>
      <c r="O16" s="37" t="n">
        <v>1</v>
      </c>
      <c r="P16" s="37" t="n">
        <v>2</v>
      </c>
      <c r="Q16" s="37">
        <f>O16*P16</f>
        <v/>
      </c>
      <c r="R16" s="37">
        <f>IF(Q16&gt;=6,"High",IF(Q16&gt;=3,"Medium","Low"))</f>
        <v/>
      </c>
    </row>
    <row r="17" ht="23.85" customHeight="1" s="25">
      <c r="A17" s="37" t="inlineStr">
        <is>
          <t>R-16</t>
        </is>
      </c>
      <c r="B17" s="38" t="inlineStr">
        <is>
          <t>Server Room</t>
        </is>
      </c>
      <c r="C17" s="38" t="inlineStr">
        <is>
          <t>Unauthorized physical access</t>
        </is>
      </c>
      <c r="D17" s="38" t="inlineStr">
        <is>
          <t>Server room key shared; no access log or CCTV coverage</t>
        </is>
      </c>
      <c r="E17" s="38" t="inlineStr">
        <is>
          <t>Locked door</t>
        </is>
      </c>
      <c r="F17" s="37" t="n">
        <v>1</v>
      </c>
      <c r="G17" s="37" t="n">
        <v>3</v>
      </c>
      <c r="H17" s="37">
        <f>F17*G17</f>
        <v/>
      </c>
      <c r="I17" s="37">
        <f>IF(H17&gt;=6,"High",IF(H17&gt;=3,"Medium","Low"))</f>
        <v/>
      </c>
      <c r="J17" s="37" t="inlineStr">
        <is>
          <t>Mitigate</t>
        </is>
      </c>
      <c r="K17" s="38" t="inlineStr">
        <is>
          <t>Badge access with logging; CCTV; visitor escort procedure</t>
        </is>
      </c>
      <c r="L17" s="37" t="inlineStr">
        <is>
          <t>A.7.2, A.7.3, A.7.4</t>
        </is>
      </c>
      <c r="M17" s="37" t="inlineStr">
        <is>
          <t>Facilities</t>
        </is>
      </c>
      <c r="N17" s="37" t="inlineStr">
        <is>
          <t>Q3 2026</t>
        </is>
      </c>
      <c r="O17" s="37" t="n">
        <v>1</v>
      </c>
      <c r="P17" s="37" t="n">
        <v>2</v>
      </c>
      <c r="Q17" s="37">
        <f>O17*P17</f>
        <v/>
      </c>
      <c r="R17" s="37">
        <f>IF(Q17&gt;=6,"High",IF(Q17&gt;=3,"Medium","Low"))</f>
        <v/>
      </c>
    </row>
    <row r="18" ht="23.85" customHeight="1" s="25">
      <c r="A18" s="37" t="inlineStr">
        <is>
          <t>R-17</t>
        </is>
      </c>
      <c r="B18" s="38" t="inlineStr">
        <is>
          <t>Public-facing services</t>
        </is>
      </c>
      <c r="C18" s="38" t="inlineStr">
        <is>
          <t>DDoS attack on internet-facing services</t>
        </is>
      </c>
      <c r="D18" s="38" t="inlineStr">
        <is>
          <t>No DDoS mitigation service</t>
        </is>
      </c>
      <c r="E18" s="38" t="inlineStr">
        <is>
          <t>Firewall rate limiting</t>
        </is>
      </c>
      <c r="F18" s="37" t="n">
        <v>1</v>
      </c>
      <c r="G18" s="37" t="n">
        <v>2</v>
      </c>
      <c r="H18" s="37">
        <f>F18*G18</f>
        <v/>
      </c>
      <c r="I18" s="37">
        <f>IF(H18&gt;=6,"High",IF(H18&gt;=3,"Medium","Low"))</f>
        <v/>
      </c>
      <c r="J18" s="37" t="inlineStr">
        <is>
          <t>Accept (monitor)</t>
        </is>
      </c>
      <c r="K18" s="38" t="inlineStr">
        <is>
          <t>Monitor exposure; evaluate ISP/cloud DDoS protection if public footprint grows</t>
        </is>
      </c>
      <c r="L18" s="37" t="inlineStr">
        <is>
          <t>A.8.6, A.8.16</t>
        </is>
      </c>
      <c r="M18" s="37" t="inlineStr">
        <is>
          <t>Network Admin</t>
        </is>
      </c>
      <c r="N18" s="37" t="inlineStr">
        <is>
          <t>Review Q4 2026</t>
        </is>
      </c>
      <c r="O18" s="37" t="n">
        <v>1</v>
      </c>
      <c r="P18" s="37" t="n">
        <v>2</v>
      </c>
      <c r="Q18" s="37">
        <f>O18*P18</f>
        <v/>
      </c>
      <c r="R18" s="37">
        <f>IF(Q18&gt;=6,"High",IF(Q18&gt;=3,"Medium","Low"))</f>
        <v/>
      </c>
    </row>
    <row r="19" ht="35.05" customHeight="1" s="25">
      <c r="A19" s="37" t="inlineStr">
        <is>
          <t>R-18</t>
        </is>
      </c>
      <c r="B19" s="38" t="inlineStr">
        <is>
          <t>All information assets</t>
        </is>
      </c>
      <c r="C19" s="38" t="inlineStr">
        <is>
          <t>Social engineering (vishing, pretexting, tailgating)</t>
        </is>
      </c>
      <c r="D19" s="38" t="inlineStr">
        <is>
          <t>Low security awareness maturity outside IT</t>
        </is>
      </c>
      <c r="E19" s="38" t="inlineStr">
        <is>
          <t>Induction briefing only</t>
        </is>
      </c>
      <c r="F19" s="37" t="n">
        <v>3</v>
      </c>
      <c r="G19" s="37" t="n">
        <v>2</v>
      </c>
      <c r="H19" s="37">
        <f>F19*G19</f>
        <v/>
      </c>
      <c r="I19" s="37">
        <f>IF(H19&gt;=6,"High",IF(H19&gt;=3,"Medium","Low"))</f>
        <v/>
      </c>
      <c r="J19" s="37" t="inlineStr">
        <is>
          <t>Mitigate</t>
        </is>
      </c>
      <c r="K19" s="38" t="inlineStr">
        <is>
          <t>Enterprise security awareness program with role-based content; verification procedures for sensitive requests; annual testing</t>
        </is>
      </c>
      <c r="L19" s="37" t="inlineStr">
        <is>
          <t>A.6.3, A.5.10</t>
        </is>
      </c>
      <c r="M19" s="37" t="inlineStr">
        <is>
          <t>IT Security + HR</t>
        </is>
      </c>
      <c r="N19" s="37" t="inlineStr">
        <is>
          <t>Q2 2026</t>
        </is>
      </c>
      <c r="O19" s="37" t="n">
        <v>2</v>
      </c>
      <c r="P19" s="37" t="n">
        <v>1</v>
      </c>
      <c r="Q19" s="37">
        <f>O19*P19</f>
        <v/>
      </c>
      <c r="R19" s="37">
        <f>IF(Q19&gt;=6,"High",IF(Q19&gt;=3,"Medium","Low"))</f>
        <v/>
      </c>
    </row>
  </sheetData>
  <autoFilter ref="A1:R19"/>
  <conditionalFormatting sqref="I2:I19">
    <cfRule type="cellIs" rank="0" priority="2" equalAverage="0" operator="equal" aboveAverage="0" dxfId="6" text="" percent="0" bottom="0">
      <formula>"High"</formula>
    </cfRule>
    <cfRule type="cellIs" rank="0" priority="3" equalAverage="0" operator="equal" aboveAverage="0" dxfId="7" text="" percent="0" bottom="0">
      <formula>"Medium"</formula>
    </cfRule>
    <cfRule type="cellIs" rank="0" priority="4" equalAverage="0" operator="equal" aboveAverage="0" dxfId="8" text="" percent="0" bottom="0">
      <formula>"Low"</formula>
    </cfRule>
  </conditionalFormatting>
  <conditionalFormatting sqref="R2:R19">
    <cfRule type="cellIs" rank="0" priority="5" equalAverage="0" operator="equal" aboveAverage="0" dxfId="6" text="" percent="0" bottom="0">
      <formula>"High"</formula>
    </cfRule>
    <cfRule type="cellIs" rank="0" priority="6" equalAverage="0" operator="equal" aboveAverage="0" dxfId="7" text="" percent="0" bottom="0">
      <formula>"Medium"</formula>
    </cfRule>
    <cfRule type="cellIs" rank="0" priority="7" equalAverage="0" operator="equal" aboveAverage="0" dxfId="8" text="" percent="0" bottom="0">
      <formula>"Low"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2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8" customWidth="1" style="24" min="2" max="2"/>
    <col width="14" customWidth="1" style="24" min="3" max="3"/>
    <col width="22" customWidth="1" style="24" min="4" max="6"/>
  </cols>
  <sheetData>
    <row r="2" ht="17.35" customHeight="1" s="25">
      <c r="B2" s="40" t="inlineStr">
        <is>
          <t>Inherent Risk Heat Map (3x3)</t>
        </is>
      </c>
    </row>
    <row r="5" ht="22.35" customHeight="1" s="25">
      <c r="B5" s="41" t="inlineStr">
        <is>
          <t>Impact</t>
        </is>
      </c>
      <c r="C5" s="42" t="inlineStr">
        <is>
          <t>3 - Major</t>
        </is>
      </c>
      <c r="D5" s="43" t="inlineStr">
        <is>
          <t>R-16</t>
        </is>
      </c>
      <c r="E5" s="44" t="inlineStr">
        <is>
          <t>R-02, R-03, R-04, R-07, R-08, R-10, R-12</t>
        </is>
      </c>
      <c r="F5" s="44" t="inlineStr">
        <is>
          <t>R-01, R-05, R-06</t>
        </is>
      </c>
    </row>
    <row r="6" ht="54.75" customHeight="1" s="25">
      <c r="C6" s="42" t="inlineStr">
        <is>
          <t>2 - Moderate</t>
        </is>
      </c>
      <c r="D6" s="45" t="inlineStr">
        <is>
          <t>R-17</t>
        </is>
      </c>
      <c r="E6" s="43" t="inlineStr">
        <is>
          <t>R-09, R-11, R-13, R-14, R-15</t>
        </is>
      </c>
      <c r="F6" s="44" t="inlineStr">
        <is>
          <t>R-18</t>
        </is>
      </c>
    </row>
    <row r="7" ht="54.75" customHeight="1" s="25">
      <c r="C7" s="42" t="inlineStr">
        <is>
          <t>1 - Minor</t>
        </is>
      </c>
      <c r="D7" s="45" t="n"/>
      <c r="E7" s="45" t="n"/>
      <c r="F7" s="43" t="n"/>
    </row>
    <row r="8" ht="54.75" customHeight="1" s="25"/>
    <row r="9" ht="15" customHeight="1" s="25">
      <c r="D9" s="42" t="inlineStr">
        <is>
          <t>1 - Unlikely</t>
        </is>
      </c>
      <c r="E9" s="42" t="inlineStr">
        <is>
          <t>2 - Possible</t>
        </is>
      </c>
      <c r="F9" s="42" t="inlineStr">
        <is>
          <t>3 - Likely</t>
        </is>
      </c>
    </row>
    <row r="10" ht="15" customHeight="1" s="25">
      <c r="E10" s="41" t="inlineStr">
        <is>
          <t>Likelihood</t>
        </is>
      </c>
    </row>
    <row r="13" ht="15" customHeight="1" s="25">
      <c r="B13" s="46" t="inlineStr">
        <is>
          <t>Risk Summary</t>
        </is>
      </c>
    </row>
    <row r="14" ht="15" customHeight="1" s="25">
      <c r="B14" s="32" t="inlineStr">
        <is>
          <t>High</t>
        </is>
      </c>
      <c r="C14" s="37">
        <f>COUNTIF('Risk Register'!I2:I19,"High")</f>
        <v/>
      </c>
    </row>
    <row r="15" ht="15" customHeight="1" s="25">
      <c r="B15" s="47" t="inlineStr">
        <is>
          <t>Medium</t>
        </is>
      </c>
      <c r="C15" s="37">
        <f>COUNTIF('Risk Register'!I2:I19,"Medium")</f>
        <v/>
      </c>
    </row>
    <row r="16" ht="15" customHeight="1" s="25">
      <c r="B16" s="35" t="inlineStr">
        <is>
          <t>Low</t>
        </is>
      </c>
      <c r="C16" s="37">
        <f>COUNTIF('Risk Register'!I2:I19,"Low")</f>
        <v/>
      </c>
    </row>
    <row r="17" ht="15" customHeight="1" s="25">
      <c r="B17" s="48" t="inlineStr">
        <is>
          <t>Total</t>
        </is>
      </c>
      <c r="C17" s="48">
        <f>SUM(C14:C16)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24" min="1" max="1"/>
    <col width="55" customWidth="1" style="24" min="2" max="2"/>
    <col width="16" customWidth="1" style="24" min="3" max="3"/>
    <col width="17" customWidth="1" style="24" min="4" max="4"/>
    <col width="12" customWidth="1" style="24" min="5" max="5"/>
    <col width="10" customWidth="1" style="24" min="6" max="7"/>
    <col width="12" customWidth="1" style="24" min="8" max="8"/>
  </cols>
  <sheetData>
    <row r="1" ht="15" customHeight="1" s="25">
      <c r="A1" s="36" t="inlineStr">
        <is>
          <t>Action ID</t>
        </is>
      </c>
      <c r="B1" s="36" t="inlineStr">
        <is>
          <t>Treatment Action</t>
        </is>
      </c>
      <c r="C1" s="36" t="inlineStr">
        <is>
          <t>Related Risks</t>
        </is>
      </c>
      <c r="D1" s="36" t="inlineStr">
        <is>
          <t>Owner</t>
        </is>
      </c>
      <c r="E1" s="36" t="inlineStr">
        <is>
          <t>Target Date</t>
        </is>
      </c>
      <c r="F1" s="36" t="inlineStr">
        <is>
          <t>Priority</t>
        </is>
      </c>
      <c r="G1" s="36" t="inlineStr">
        <is>
          <t>Est. Cost</t>
        </is>
      </c>
      <c r="H1" s="36" t="inlineStr">
        <is>
          <t>Status</t>
        </is>
      </c>
    </row>
    <row r="2" ht="15" customHeight="1" s="25">
      <c r="A2" s="37" t="inlineStr">
        <is>
          <t>T-01</t>
        </is>
      </c>
      <c r="B2" s="38" t="inlineStr">
        <is>
          <t>Enforce MFA tenant-wide &amp; block legacy authentication</t>
        </is>
      </c>
      <c r="C2" s="37" t="inlineStr">
        <is>
          <t>R-05, R-01</t>
        </is>
      </c>
      <c r="D2" s="37" t="inlineStr">
        <is>
          <t>IT Security</t>
        </is>
      </c>
      <c r="E2" s="37" t="inlineStr">
        <is>
          <t>Q1 2026</t>
        </is>
      </c>
      <c r="F2" s="37" t="inlineStr">
        <is>
          <t>High</t>
        </is>
      </c>
      <c r="G2" s="37" t="inlineStr">
        <is>
          <t>Low</t>
        </is>
      </c>
      <c r="H2" s="37" t="inlineStr">
        <is>
          <t>Not Started</t>
        </is>
      </c>
    </row>
    <row r="3" ht="15" customHeight="1" s="25">
      <c r="A3" s="37" t="inlineStr">
        <is>
          <t>T-02</t>
        </is>
      </c>
      <c r="B3" s="38" t="inlineStr">
        <is>
          <t>Deploy Privileged Access Management (PAM)</t>
        </is>
      </c>
      <c r="C3" s="37" t="inlineStr">
        <is>
          <t>R-04</t>
        </is>
      </c>
      <c r="D3" s="37" t="inlineStr">
        <is>
          <t>IT Security</t>
        </is>
      </c>
      <c r="E3" s="37" t="inlineStr">
        <is>
          <t>Q2 2026</t>
        </is>
      </c>
      <c r="F3" s="37" t="inlineStr">
        <is>
          <t>High</t>
        </is>
      </c>
      <c r="G3" s="37" t="inlineStr">
        <is>
          <t>Medium</t>
        </is>
      </c>
      <c r="H3" s="37" t="inlineStr">
        <is>
          <t>Not Started</t>
        </is>
      </c>
    </row>
    <row r="4" ht="15" customHeight="1" s="25">
      <c r="A4" s="37" t="inlineStr">
        <is>
          <t>T-03</t>
        </is>
      </c>
      <c r="B4" s="38" t="inlineStr">
        <is>
          <t>Launch phishing simulation &amp; awareness program</t>
        </is>
      </c>
      <c r="C4" s="37" t="inlineStr">
        <is>
          <t>R-01, R-18, R-03</t>
        </is>
      </c>
      <c r="D4" s="37" t="inlineStr">
        <is>
          <t>IT Security + HR</t>
        </is>
      </c>
      <c r="E4" s="37" t="inlineStr">
        <is>
          <t>Q1 2026</t>
        </is>
      </c>
      <c r="F4" s="37" t="inlineStr">
        <is>
          <t>High</t>
        </is>
      </c>
      <c r="G4" s="37" t="inlineStr">
        <is>
          <t>Low</t>
        </is>
      </c>
      <c r="H4" s="37" t="inlineStr">
        <is>
          <t>Not Started</t>
        </is>
      </c>
    </row>
    <row r="5" ht="15" customHeight="1" s="25">
      <c r="A5" s="37" t="inlineStr">
        <is>
          <t>T-04</t>
        </is>
      </c>
      <c r="B5" s="38" t="inlineStr">
        <is>
          <t>Establish monthly patch management cycle + vulnerability scanning</t>
        </is>
      </c>
      <c r="C5" s="37" t="inlineStr">
        <is>
          <t>R-06, R-02</t>
        </is>
      </c>
      <c r="D5" s="37" t="inlineStr">
        <is>
          <t>IT Manager</t>
        </is>
      </c>
      <c r="E5" s="37" t="inlineStr">
        <is>
          <t>Q2 2026</t>
        </is>
      </c>
      <c r="F5" s="37" t="inlineStr">
        <is>
          <t>High</t>
        </is>
      </c>
      <c r="G5" s="37" t="inlineStr">
        <is>
          <t>Medium</t>
        </is>
      </c>
      <c r="H5" s="37" t="inlineStr">
        <is>
          <t>Not Started</t>
        </is>
      </c>
    </row>
    <row r="6" ht="15" customHeight="1" s="25">
      <c r="A6" s="37" t="inlineStr">
        <is>
          <t>T-05</t>
        </is>
      </c>
      <c r="B6" s="38" t="inlineStr">
        <is>
          <t>Implement quarterly backup restore testing + offline copy (3-2-1)</t>
        </is>
      </c>
      <c r="C6" s="37" t="inlineStr">
        <is>
          <t>R-07, R-02</t>
        </is>
      </c>
      <c r="D6" s="37" t="inlineStr">
        <is>
          <t>IT Manager</t>
        </is>
      </c>
      <c r="E6" s="37" t="inlineStr">
        <is>
          <t>Q1 2026</t>
        </is>
      </c>
      <c r="F6" s="37" t="inlineStr">
        <is>
          <t>High</t>
        </is>
      </c>
      <c r="G6" s="37" t="inlineStr">
        <is>
          <t>Low</t>
        </is>
      </c>
      <c r="H6" s="37" t="inlineStr">
        <is>
          <t>Not Started</t>
        </is>
      </c>
    </row>
    <row r="7" ht="15" customHeight="1" s="25">
      <c r="A7" s="37" t="inlineStr">
        <is>
          <t>T-06</t>
        </is>
      </c>
      <c r="B7" s="38" t="inlineStr">
        <is>
          <t>Deploy EDR and network segmentation</t>
        </is>
      </c>
      <c r="C7" s="37" t="inlineStr">
        <is>
          <t>R-02, R-13</t>
        </is>
      </c>
      <c r="D7" s="37" t="inlineStr">
        <is>
          <t>IT Director</t>
        </is>
      </c>
      <c r="E7" s="37" t="inlineStr">
        <is>
          <t>Q2 2026</t>
        </is>
      </c>
      <c r="F7" s="37" t="inlineStr">
        <is>
          <t>High</t>
        </is>
      </c>
      <c r="G7" s="37" t="inlineStr">
        <is>
          <t>High</t>
        </is>
      </c>
      <c r="H7" s="37" t="inlineStr">
        <is>
          <t>Not Started</t>
        </is>
      </c>
    </row>
    <row r="8" ht="15" customHeight="1" s="25">
      <c r="A8" s="37" t="inlineStr">
        <is>
          <t>T-07</t>
        </is>
      </c>
      <c r="B8" s="38" t="inlineStr">
        <is>
          <t>Vendor security assessment program</t>
        </is>
      </c>
      <c r="C8" s="37" t="inlineStr">
        <is>
          <t>R-10</t>
        </is>
      </c>
      <c r="D8" s="37" t="inlineStr">
        <is>
          <t>Procurement + IT</t>
        </is>
      </c>
      <c r="E8" s="37" t="inlineStr">
        <is>
          <t>Q3 2026</t>
        </is>
      </c>
      <c r="F8" s="37" t="inlineStr">
        <is>
          <t>Medium</t>
        </is>
      </c>
      <c r="G8" s="37" t="inlineStr">
        <is>
          <t>Low</t>
        </is>
      </c>
      <c r="H8" s="37" t="inlineStr">
        <is>
          <t>Not Started</t>
        </is>
      </c>
    </row>
    <row r="9" ht="15" customHeight="1" s="25">
      <c r="A9" s="37" t="inlineStr">
        <is>
          <t>T-08</t>
        </is>
      </c>
      <c r="B9" s="38" t="inlineStr">
        <is>
          <t>DLP rollout (email, USB, cloud) + data classification</t>
        </is>
      </c>
      <c r="C9" s="37" t="inlineStr">
        <is>
          <t>R-09, R-08, R-12</t>
        </is>
      </c>
      <c r="D9" s="37" t="inlineStr">
        <is>
          <t>IT Security</t>
        </is>
      </c>
      <c r="E9" s="37" t="inlineStr">
        <is>
          <t>Q3 2026</t>
        </is>
      </c>
      <c r="F9" s="37" t="inlineStr">
        <is>
          <t>Medium</t>
        </is>
      </c>
      <c r="G9" s="37" t="inlineStr">
        <is>
          <t>Medium</t>
        </is>
      </c>
      <c r="H9" s="37" t="inlineStr">
        <is>
          <t>Not Started</t>
        </is>
      </c>
    </row>
    <row r="10" ht="15" customHeight="1" s="25">
      <c r="A10" s="37" t="inlineStr">
        <is>
          <t>T-09</t>
        </is>
      </c>
      <c r="B10" s="38" t="inlineStr">
        <is>
          <t>Access recertification &amp; same-day leaver deprovisioning</t>
        </is>
      </c>
      <c r="C10" s="37" t="inlineStr">
        <is>
          <t>R-08, R-04</t>
        </is>
      </c>
      <c r="D10" s="37" t="inlineStr">
        <is>
          <t>HR + IT Security</t>
        </is>
      </c>
      <c r="E10" s="37" t="inlineStr">
        <is>
          <t>Q2 2026</t>
        </is>
      </c>
      <c r="F10" s="37" t="inlineStr">
        <is>
          <t>Medium</t>
        </is>
      </c>
      <c r="G10" s="37" t="inlineStr">
        <is>
          <t>Low</t>
        </is>
      </c>
      <c r="H10" s="37" t="inlineStr">
        <is>
          <t>Not Started</t>
        </is>
      </c>
    </row>
    <row r="11" ht="15" customHeight="1" s="25">
      <c r="A11" s="37" t="inlineStr">
        <is>
          <t>T-10</t>
        </is>
      </c>
      <c r="B11" s="38" t="inlineStr">
        <is>
          <t>Enforce endpoint disk encryption via Intune</t>
        </is>
      </c>
      <c r="C11" s="37" t="inlineStr">
        <is>
          <t>R-14</t>
        </is>
      </c>
      <c r="D11" s="37" t="inlineStr">
        <is>
          <t>IT Manager</t>
        </is>
      </c>
      <c r="E11" s="37" t="inlineStr">
        <is>
          <t>Q1 2026</t>
        </is>
      </c>
      <c r="F11" s="37" t="inlineStr">
        <is>
          <t>Medium</t>
        </is>
      </c>
      <c r="G11" s="37" t="inlineStr">
        <is>
          <t>Low</t>
        </is>
      </c>
      <c r="H11" s="37" t="inlineStr">
        <is>
          <t>Not Started</t>
        </is>
      </c>
    </row>
    <row r="12" ht="15" customHeight="1" s="25">
      <c r="A12" s="37" t="inlineStr">
        <is>
          <t>T-11</t>
        </is>
      </c>
      <c r="B12" s="38" t="inlineStr">
        <is>
          <t>Network redundancy for critical sites + DR runbook</t>
        </is>
      </c>
      <c r="C12" s="37" t="inlineStr">
        <is>
          <t>R-11</t>
        </is>
      </c>
      <c r="D12" s="37" t="inlineStr">
        <is>
          <t>Network Admin</t>
        </is>
      </c>
      <c r="E12" s="37" t="inlineStr">
        <is>
          <t>Q3 2026</t>
        </is>
      </c>
      <c r="F12" s="37" t="inlineStr">
        <is>
          <t>Medium</t>
        </is>
      </c>
      <c r="G12" s="37" t="inlineStr">
        <is>
          <t>High</t>
        </is>
      </c>
      <c r="H12" s="37" t="inlineStr">
        <is>
          <t>Not Started</t>
        </is>
      </c>
    </row>
    <row r="13" ht="15" customHeight="1" s="25">
      <c r="A13" s="37" t="inlineStr">
        <is>
          <t>T-12</t>
        </is>
      </c>
      <c r="B13" s="38" t="inlineStr">
        <is>
          <t>Physical access controls for server room (badge + CCTV)</t>
        </is>
      </c>
      <c r="C13" s="37" t="inlineStr">
        <is>
          <t>R-16</t>
        </is>
      </c>
      <c r="D13" s="37" t="inlineStr">
        <is>
          <t>Facilities</t>
        </is>
      </c>
      <c r="E13" s="37" t="inlineStr">
        <is>
          <t>Q3 2026</t>
        </is>
      </c>
      <c r="F13" s="37" t="inlineStr">
        <is>
          <t>Low</t>
        </is>
      </c>
      <c r="G13" s="37" t="inlineStr">
        <is>
          <t>Medium</t>
        </is>
      </c>
      <c r="H13" s="37" t="inlineStr">
        <is>
          <t>Not Started</t>
        </is>
      </c>
    </row>
  </sheetData>
  <conditionalFormatting sqref="F2:F13">
    <cfRule type="cellIs" rank="0" priority="2" equalAverage="0" operator="equal" aboveAverage="0" dxfId="6" text="" percent="0" bottom="0">
      <formula>"High"</formula>
    </cfRule>
    <cfRule type="cellIs" rank="0" priority="3" equalAverage="0" operator="equal" aboveAverage="0" dxfId="7" text="" percent="0" bottom="0">
      <formula>"Medium"</formula>
    </cfRule>
    <cfRule type="cellIs" rank="0" priority="4" equalAverage="0" operator="equal" aboveAverage="0" dxfId="8" text="" percent="0" bottom="0">
      <formula>"Low"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Reem Ibrahim</dc:creator>
  <dc:title xmlns:dc="http://purl.org/dc/elements/1.1/">Enterprise Information Security Risk Register - AKFA Trading Group</dc:title>
  <dc:language xmlns:dc="http://purl.org/dc/elements/1.1/">en-US</dc:language>
  <dcterms:created xmlns:dcterms="http://purl.org/dc/terms/" xmlns:xsi="http://www.w3.org/2001/XMLSchema-instance" xsi:type="dcterms:W3CDTF">2026-07-04T20:34:14Z</dcterms:created>
  <dcterms:modified xmlns:dcterms="http://purl.org/dc/terms/" xmlns:xsi="http://www.w3.org/2001/XMLSchema-instance" xsi:type="dcterms:W3CDTF">2026-07-04T21:07:46Z</dcterms:modified>
  <cp:lastModifiedBy>Reem Ibrahim</cp:lastModifiedBy>
  <cp:revision>0</cp:revision>
</cp:coreProperties>
</file>